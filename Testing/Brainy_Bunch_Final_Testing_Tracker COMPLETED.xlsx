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0480957a2d7caf8/Documents/"/>
    </mc:Choice>
  </mc:AlternateContent>
  <xr:revisionPtr revIDLastSave="0" documentId="8_{F0A0748B-1461-4BDC-B6ED-5924D762E34B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Test Cases" sheetId="1" r:id="rId1"/>
    <sheet name="Bug Log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B8" i="3"/>
  <c r="E7" i="3"/>
  <c r="B7" i="3"/>
  <c r="E6" i="3"/>
  <c r="B6" i="3"/>
  <c r="E5" i="3"/>
  <c r="B5" i="3"/>
  <c r="E4" i="3"/>
  <c r="B4" i="3"/>
</calcChain>
</file>

<file path=xl/sharedStrings.xml><?xml version="1.0" encoding="utf-8"?>
<sst xmlns="http://schemas.openxmlformats.org/spreadsheetml/2006/main" count="310" uniqueCount="193">
  <si>
    <t>Brainy-Bunch Manual Testing Checklist</t>
  </si>
  <si>
    <t>Use this sheet after all branches are merged. Complete each test, record the actual result, and select Pass, Fail, or Blocked.</t>
  </si>
  <si>
    <t>Test ID</t>
  </si>
  <si>
    <t>Feature / Screen</t>
  </si>
  <si>
    <t>Test Task</t>
  </si>
  <si>
    <t>Steps</t>
  </si>
  <si>
    <t>Expected Result</t>
  </si>
  <si>
    <t>Actual Result</t>
  </si>
  <si>
    <t>Status</t>
  </si>
  <si>
    <t>Priority</t>
  </si>
  <si>
    <t>Tester</t>
  </si>
  <si>
    <t>Date Tested</t>
  </si>
  <si>
    <t>Notes / Bug ID</t>
  </si>
  <si>
    <t>TC-001</t>
  </si>
  <si>
    <t>Home Page</t>
  </si>
  <si>
    <t>Open the Home page</t>
  </si>
  <si>
    <t>Start the app and open the root URL.</t>
  </si>
  <si>
    <t>Home page loads with navigation, welcome message, Browse Community Items button, and Share an Item button.</t>
  </si>
  <si>
    <t>High</t>
  </si>
  <si>
    <t>TC-002</t>
  </si>
  <si>
    <t>Navigation</t>
  </si>
  <si>
    <t>Use all navigation links</t>
  </si>
  <si>
    <t>From the Home page, click Home, Browse, Share, Notifications, and Profile one at a time.</t>
  </si>
  <si>
    <t>Each link opens the correct page without an error.</t>
  </si>
  <si>
    <t>TC-003</t>
  </si>
  <si>
    <t>Browse Items</t>
  </si>
  <si>
    <t>View available listings</t>
  </si>
  <si>
    <t>Open Browse Community Items and review the displayed cards.</t>
  </si>
  <si>
    <t>Available listings display with an image, category, title, and View Details button.</t>
  </si>
  <si>
    <t>TC-004</t>
  </si>
  <si>
    <t>Search for an item</t>
  </si>
  <si>
    <t>Enter an existing item name in the search bar.</t>
  </si>
  <si>
    <t>Only relevant matching listings are displayed.</t>
  </si>
  <si>
    <t>Medium</t>
  </si>
  <si>
    <t>TC-005</t>
  </si>
  <si>
    <t>Filter listings by category</t>
  </si>
  <si>
    <t>Select a category from the category filter.</t>
  </si>
  <si>
    <t>Only listings in the selected category are displayed.</t>
  </si>
  <si>
    <t>TC-006</t>
  </si>
  <si>
    <t>Listing Details</t>
  </si>
  <si>
    <t>Open an item details page</t>
  </si>
  <si>
    <t>On Browse, click View Details for a listing.</t>
  </si>
  <si>
    <t>The selected item's image, title, category, description, condition, poster, location, and Request button display.</t>
  </si>
  <si>
    <t>TC-007</t>
  </si>
  <si>
    <t>Share an Item</t>
  </si>
  <si>
    <t>Open the Share an Item page</t>
  </si>
  <si>
    <t>Click Share in the navigation menu.</t>
  </si>
  <si>
    <t>The page loads with Item Name, Category, Condition, Description, Upload Photo, and Share Item controls.</t>
  </si>
  <si>
    <t>TC-008</t>
  </si>
  <si>
    <t>Submit a valid item listing</t>
  </si>
  <si>
    <t>Complete all required fields, upload a valid image, and click Share Item.</t>
  </si>
  <si>
    <t>The listing is created and appears on the Browse page.</t>
  </si>
  <si>
    <t>TC-009</t>
  </si>
  <si>
    <t>Leave Item Name blank</t>
  </si>
  <si>
    <t>Complete the remaining fields, leave Item Name blank, and click Share Item.</t>
  </si>
  <si>
    <t>Submission is rejected and a required-field message is displayed.</t>
  </si>
  <si>
    <t>TC-010</t>
  </si>
  <si>
    <t>Upload an invalid file type</t>
  </si>
  <si>
    <t>Attempt to upload a non-image file.</t>
  </si>
  <si>
    <t>The file is rejected and a clear validation message is shown.</t>
  </si>
  <si>
    <t>TC-011</t>
  </si>
  <si>
    <t>Profile</t>
  </si>
  <si>
    <t>Open the Profile page</t>
  </si>
  <si>
    <t>Click Profile in the navigation menu.</t>
  </si>
  <si>
    <t>Profile information, statistics, shared items, requests, and Edit Profile button display.</t>
  </si>
  <si>
    <t>TC-012</t>
  </si>
  <si>
    <t>Notifications</t>
  </si>
  <si>
    <t>Open the Notifications page</t>
  </si>
  <si>
    <t>Click Notifications in the navigation menu.</t>
  </si>
  <si>
    <t>Recent request and listing notifications display correctly.</t>
  </si>
  <si>
    <t>TC-013</t>
  </si>
  <si>
    <t>Request Item</t>
  </si>
  <si>
    <t>Request an available item</t>
  </si>
  <si>
    <t>Open a listing and click Request This Item.</t>
  </si>
  <si>
    <t>The request is saved and a confirmation or updated status is shown.</t>
  </si>
  <si>
    <t>TC-014</t>
  </si>
  <si>
    <t>Admin Dashboard</t>
  </si>
  <si>
    <t>Open the Admin Dashboard</t>
  </si>
  <si>
    <t>Sign in as an administrator and open the dashboard.</t>
  </si>
  <si>
    <t>Dashboard loads and shows totals for users, listings, reports, and pending verification requests.</t>
  </si>
  <si>
    <t>TC-015</t>
  </si>
  <si>
    <t>Approve a pending user</t>
  </si>
  <si>
    <t>Open pending verification requests and approve one user.</t>
  </si>
  <si>
    <t>The user's status changes to approved and the action is recorded.</t>
  </si>
  <si>
    <t>TC-016</t>
  </si>
  <si>
    <t>Deny a pending user</t>
  </si>
  <si>
    <t>Open pending verification requests and deny one user.</t>
  </si>
  <si>
    <t>The user's status changes to denied and the action is recorded.</t>
  </si>
  <si>
    <t>TC-017</t>
  </si>
  <si>
    <t>Block a user</t>
  </si>
  <si>
    <t>Select an active user and choose Block User.</t>
  </si>
  <si>
    <t>The user is blocked and can no longer access restricted features.</t>
  </si>
  <si>
    <t>TC-018</t>
  </si>
  <si>
    <t>Remove a listing</t>
  </si>
  <si>
    <t>Select a reported or inappropriate listing and choose Remove Listing.</t>
  </si>
  <si>
    <t>The listing is removed from public view and the action is recorded.</t>
  </si>
  <si>
    <t>TC-019</t>
  </si>
  <si>
    <t>Responsive Layout</t>
  </si>
  <si>
    <t>Check mobile-sized layout</t>
  </si>
  <si>
    <t>Resize the browser to a narrow mobile width and review primary pages.</t>
  </si>
  <si>
    <t>Navigation, forms, cards, and buttons remain readable and usable.</t>
  </si>
  <si>
    <t>TC-020</t>
  </si>
  <si>
    <t>Integration</t>
  </si>
  <si>
    <t>Run all automated tests</t>
  </si>
  <si>
    <t>From the folder containing manage.py, run python manage.py test.</t>
  </si>
  <si>
    <t>All automated tests complete successfully with an OK result.</t>
  </si>
  <si>
    <t>Brainy-Bunch Bug Log</t>
  </si>
  <si>
    <t>Bug ID</t>
  </si>
  <si>
    <t>Related Test ID</t>
  </si>
  <si>
    <t>Feature</t>
  </si>
  <si>
    <t>Bug Description</t>
  </si>
  <si>
    <t>Steps to Reproduce</t>
  </si>
  <si>
    <t>Severity</t>
  </si>
  <si>
    <t>Assigned To</t>
  </si>
  <si>
    <t>Date Found</t>
  </si>
  <si>
    <t>Retest Result</t>
  </si>
  <si>
    <t>BUG-001</t>
  </si>
  <si>
    <t>Open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</si>
  <si>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</si>
  <si>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</si>
  <si>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</si>
  <si>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</si>
  <si>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</si>
  <si>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</si>
  <si>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</si>
  <si>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</si>
  <si>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</si>
  <si>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</si>
  <si>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</si>
  <si>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</si>
  <si>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</si>
  <si>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</si>
  <si>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</si>
  <si>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</si>
  <si>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</si>
  <si>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</si>
  <si>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</si>
  <si>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Testing Progress Summary</t>
  </si>
  <si>
    <t>Metric</t>
  </si>
  <si>
    <t>Count</t>
  </si>
  <si>
    <t>Bug Metric</t>
  </si>
  <si>
    <t>Total Test Cases</t>
  </si>
  <si>
    <t>Total Bugs Logged</t>
  </si>
  <si>
    <t>Passed</t>
  </si>
  <si>
    <t>Failed</t>
  </si>
  <si>
    <t>In Progress</t>
  </si>
  <si>
    <t>Blocked</t>
  </si>
  <si>
    <t>Fixed / Retest Needed</t>
  </si>
  <si>
    <t>Not Started / In Progress</t>
  </si>
  <si>
    <t>Closed</t>
  </si>
  <si>
    <t>Recommended Final Testing Order</t>
  </si>
  <si>
    <t>1</t>
  </si>
  <si>
    <t>Merge all team branches</t>
  </si>
  <si>
    <t>Confirm frontend, backend, database, and testing changes are present.</t>
  </si>
  <si>
    <t>2</t>
  </si>
  <si>
    <t>Run the full application</t>
  </si>
  <si>
    <t>Open every screen and confirm the server starts without errors.</t>
  </si>
  <si>
    <t>3</t>
  </si>
  <si>
    <t>Complete manual tests</t>
  </si>
  <si>
    <t>Work through the Test Cases sheet and update each Status.</t>
  </si>
  <si>
    <t>4</t>
  </si>
  <si>
    <t>Log and assign bugs</t>
  </si>
  <si>
    <t>Add failed tests to the Bug Log with severity and reproduction steps.</t>
  </si>
  <si>
    <t>5</t>
  </si>
  <si>
    <t>Retest fixes</t>
  </si>
  <si>
    <t>Change bug status and record the retest result.</t>
  </si>
  <si>
    <t>6</t>
  </si>
  <si>
    <t>Run automated tests</t>
  </si>
  <si>
    <t>Run python manage.py test and save the final passing screenshot.</t>
  </si>
  <si>
    <t>Pass</t>
  </si>
  <si>
    <t>Bryce Leidgertwood</t>
  </si>
  <si>
    <t>Validation worked correctly.</t>
  </si>
  <si>
    <t>File validation worked correctly.</t>
  </si>
  <si>
    <t>Home page loaded correctly with all navigation buttons visible.</t>
  </si>
  <si>
    <t>All navigation links opened the correct pages without errors</t>
  </si>
  <si>
    <t>Browse page displayed available listings correctly.</t>
  </si>
  <si>
    <t>Search returned the correct matching listings.</t>
  </si>
  <si>
    <t>Category filter displayed the correct listings.</t>
  </si>
  <si>
    <t>Listing details page displayed all required information.</t>
  </si>
  <si>
    <t>Share an Item page loaded with all required fields.</t>
  </si>
  <si>
    <t>Valid listing was successfully created and displayed on Browse page.</t>
  </si>
  <si>
    <t>Form prevented submission when Item Name was left blank.</t>
  </si>
  <si>
    <t>Invalid file upload was rejected with an error message.</t>
  </si>
  <si>
    <t>Profile page displayed user information and Edit Profile button.</t>
  </si>
  <si>
    <t>Notifications page loaded correctly.</t>
  </si>
  <si>
    <t>Item request was successfully submitted.</t>
  </si>
  <si>
    <t>Admin Dashboard displayed correctly with statistics.</t>
  </si>
  <si>
    <t>Admin approval feature worked correctly.</t>
  </si>
  <si>
    <t>Admin deny feature worked correctly.</t>
  </si>
  <si>
    <t>User blocking feature functioned correctly.</t>
  </si>
  <si>
    <t>Admin successfully removed a listing.</t>
  </si>
  <si>
    <t>Application remained usable in a mobile-sized browser window.</t>
  </si>
  <si>
    <t>Automated tests completed successfully with no failures.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</si>
</sst>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3730A3"/>
      <name val="Carlito"/>
    </font>
    <font>
      <b/>
      <sz val="11"/>
      <color rgb="FFFFFFFF"/>
      <name val="Carlito"/>
    </font>
    <font>
      <b/>
      <sz val="11"/>
      <color rgb="FF312E8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EF2FF"/>
      </patternFill>
    </fill>
    <fill>
      <patternFill patternType="solid">
        <fgColor rgb="FF312E81"/>
      </patternFill>
    </fill>
    <fill>
      <patternFill patternType="solid">
        <fgColor rgb="FFB91C1C"/>
      </patternFill>
    </fill>
    <fill>
      <patternFill patternType="solid">
        <fgColor rgb="FF7F1D1D"/>
      </patternFill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E0E7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3" fillId="6" borderId="0" xfId="0" applyFont="1" applyFill="1" applyAlignment="1">
      <alignment horizontal="center" wrapText="1"/>
    </xf>
    <xf numFmtId="0" fontId="3" fillId="8" borderId="1" xfId="0" applyFont="1" applyFill="1" applyBorder="1"/>
    <xf numFmtId="0" fontId="3" fillId="8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6" borderId="1" xfId="0" applyFont="1" applyFill="1" applyBorder="1"/>
    <xf numFmtId="0" fontId="3" fillId="6" borderId="2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0" fillId="0" borderId="0" xfId="0"/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Test Status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Summary!$A$4:$A$8</c:f>
              <c:strCache>
                <c:ptCount val="5"/>
                <c:pt idx="0">
                  <c:v>Total Test Cases</c:v>
                </c:pt>
                <c:pt idx="1">
                  <c:v>Passed</c:v>
                </c:pt>
                <c:pt idx="2">
                  <c:v>Failed</c:v>
                </c:pt>
                <c:pt idx="3">
                  <c:v>Blocked</c:v>
                </c:pt>
                <c:pt idx="4">
                  <c:v>Not Started / In Progress</c:v>
                </c:pt>
              </c:strCache>
            </c:strRef>
          </c:cat>
          <c:val>
            <c:numRef>
              <c:f>Summary!$B$4:$B$8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2-4484-AAAC-4AD8CD8B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TestCases" displayName="ManualTestCases" ref="A4:K24">
  <tableColumns count="11">
    <tableColumn id="1" xr3:uid="{00000000-0010-0000-0000-000001000000}" name="Test ID"/>
    <tableColumn id="2" xr3:uid="{00000000-0010-0000-0000-000002000000}" name="Feature / Screen"/>
    <tableColumn id="3" xr3:uid="{00000000-0010-0000-0000-000003000000}" name="Test Task"/>
    <tableColumn id="4" xr3:uid="{00000000-0010-0000-0000-000004000000}" name="Steps"/>
    <tableColumn id="5" xr3:uid="{00000000-0010-0000-0000-000005000000}" name="Expected Result"/>
    <tableColumn id="6" xr3:uid="{00000000-0010-0000-0000-000006000000}" name="Actual Result"/>
    <tableColumn id="7" xr3:uid="{00000000-0010-0000-0000-000007000000}" name="Status"/>
    <tableColumn id="8" xr3:uid="{00000000-0010-0000-0000-000008000000}" name="Priority"/>
    <tableColumn id="9" xr3:uid="{00000000-0010-0000-0000-000009000000}" name="Tester"/>
    <tableColumn id="10" xr3:uid="{00000000-0010-0000-0000-00000A000000}" name="Date Tested"/>
    <tableColumn id="11" xr3:uid="{00000000-0010-0000-0000-00000B000000}" name="Notes / Bug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gLogTable" displayName="BugLogTable" ref="A3:J23">
  <tableColumns count="10">
    <tableColumn id="1" xr3:uid="{00000000-0010-0000-0100-000001000000}" name="Bug ID"/>
    <tableColumn id="2" xr3:uid="{00000000-0010-0000-0100-000002000000}" name="Related Test ID"/>
    <tableColumn id="3" xr3:uid="{00000000-0010-0000-0100-000003000000}" name="Feature"/>
    <tableColumn id="4" xr3:uid="{00000000-0010-0000-0100-000004000000}" name="Bug Description"/>
    <tableColumn id="5" xr3:uid="{00000000-0010-0000-0100-000005000000}" name="Steps to Reproduce"/>
    <tableColumn id="6" xr3:uid="{00000000-0010-0000-0100-000006000000}" name="Severity"/>
    <tableColumn id="7" xr3:uid="{00000000-0010-0000-0100-000007000000}" name="Status"/>
    <tableColumn id="8" xr3:uid="{00000000-0010-0000-0100-000008000000}" name="Assigned To"/>
    <tableColumn id="9" xr3:uid="{00000000-0010-0000-0100-000009000000}" name="Date Found"/>
    <tableColumn id="10" xr3:uid="{00000000-0010-0000-0100-00000A000000}" name="Retest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workbookViewId="0">
      <selection activeCell="K24" sqref="K24"/>
    </sheetView>
  </sheetViews>
  <sheetFormatPr defaultRowHeight="14.25"/>
  <cols>
    <col min="1" max="1" width="11" customWidth="1"/>
    <col min="2" max="2" width="18" customWidth="1"/>
    <col min="3" max="3" width="25" customWidth="1"/>
    <col min="4" max="4" width="38" customWidth="1"/>
    <col min="5" max="5" width="42" customWidth="1"/>
    <col min="6" max="6" width="38" customWidth="1"/>
    <col min="7" max="7" width="14" customWidth="1"/>
    <col min="8" max="8" width="11" customWidth="1"/>
    <col min="9" max="9" width="15" customWidth="1"/>
    <col min="10" max="10" width="13" customWidth="1"/>
    <col min="11" max="11" width="22" customWidth="1"/>
  </cols>
  <sheetData>
    <row r="1" spans="1:11" ht="27.95" customHeight="1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  <c r="I1" s="14" t="s">
        <v>0</v>
      </c>
      <c r="J1" s="14" t="s">
        <v>0</v>
      </c>
      <c r="K1" s="14" t="s">
        <v>0</v>
      </c>
    </row>
    <row r="2" spans="1:11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42.7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173</v>
      </c>
      <c r="G5" s="2" t="s">
        <v>169</v>
      </c>
      <c r="H5" s="2" t="s">
        <v>18</v>
      </c>
      <c r="I5" s="2" t="s">
        <v>170</v>
      </c>
      <c r="J5" s="3">
        <v>46231</v>
      </c>
      <c r="K5" s="2"/>
    </row>
    <row r="6" spans="1:11" ht="42.7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174</v>
      </c>
      <c r="G6" s="2" t="s">
        <v>169</v>
      </c>
      <c r="H6" s="2" t="s">
        <v>18</v>
      </c>
      <c r="I6" s="2" t="s">
        <v>170</v>
      </c>
      <c r="J6" s="3">
        <v>46231</v>
      </c>
      <c r="K6" s="2"/>
    </row>
    <row r="7" spans="1:11" ht="28.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175</v>
      </c>
      <c r="G7" s="2" t="s">
        <v>169</v>
      </c>
      <c r="H7" s="2" t="s">
        <v>18</v>
      </c>
      <c r="I7" t="s">
        <v>170</v>
      </c>
      <c r="J7" s="3">
        <v>46231</v>
      </c>
      <c r="K7" s="2"/>
    </row>
    <row r="8" spans="1:11" ht="28.5">
      <c r="A8" s="2" t="s">
        <v>29</v>
      </c>
      <c r="B8" s="2" t="s">
        <v>25</v>
      </c>
      <c r="C8" s="2" t="s">
        <v>30</v>
      </c>
      <c r="D8" s="2" t="s">
        <v>31</v>
      </c>
      <c r="E8" s="2" t="s">
        <v>32</v>
      </c>
      <c r="F8" s="2" t="s">
        <v>176</v>
      </c>
      <c r="G8" s="2" t="s">
        <v>169</v>
      </c>
      <c r="H8" s="2" t="s">
        <v>33</v>
      </c>
      <c r="I8" s="2" t="s">
        <v>170</v>
      </c>
      <c r="J8" s="3">
        <v>46231</v>
      </c>
      <c r="K8" s="2"/>
    </row>
    <row r="9" spans="1:11" ht="28.5">
      <c r="A9" s="2" t="s">
        <v>34</v>
      </c>
      <c r="B9" s="2" t="s">
        <v>25</v>
      </c>
      <c r="C9" s="2" t="s">
        <v>35</v>
      </c>
      <c r="D9" s="2" t="s">
        <v>36</v>
      </c>
      <c r="E9" s="2" t="s">
        <v>37</v>
      </c>
      <c r="F9" s="2" t="s">
        <v>177</v>
      </c>
      <c r="G9" s="2" t="s">
        <v>169</v>
      </c>
      <c r="H9" s="2" t="s">
        <v>33</v>
      </c>
      <c r="I9" s="2" t="s">
        <v>170</v>
      </c>
      <c r="J9" s="3">
        <v>46231</v>
      </c>
      <c r="K9" s="2"/>
    </row>
    <row r="10" spans="1:11" ht="42.7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178</v>
      </c>
      <c r="G10" s="2" t="s">
        <v>169</v>
      </c>
      <c r="H10" s="2" t="s">
        <v>18</v>
      </c>
      <c r="I10" s="2" t="s">
        <v>170</v>
      </c>
      <c r="J10" s="3">
        <v>46231</v>
      </c>
      <c r="K10" s="2"/>
    </row>
    <row r="11" spans="1:11" ht="42.7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179</v>
      </c>
      <c r="G11" s="2" t="s">
        <v>169</v>
      </c>
      <c r="H11" s="2" t="s">
        <v>18</v>
      </c>
      <c r="I11" s="2" t="s">
        <v>170</v>
      </c>
      <c r="J11" s="3">
        <v>46231</v>
      </c>
      <c r="K11" s="2"/>
    </row>
    <row r="12" spans="1:11" ht="28.5">
      <c r="A12" s="2" t="s">
        <v>48</v>
      </c>
      <c r="B12" s="2" t="s">
        <v>44</v>
      </c>
      <c r="C12" s="2" t="s">
        <v>49</v>
      </c>
      <c r="D12" s="2" t="s">
        <v>50</v>
      </c>
      <c r="E12" s="2" t="s">
        <v>51</v>
      </c>
      <c r="F12" s="2" t="s">
        <v>180</v>
      </c>
      <c r="G12" s="2" t="s">
        <v>169</v>
      </c>
      <c r="H12" s="2" t="s">
        <v>18</v>
      </c>
      <c r="I12" s="2" t="s">
        <v>170</v>
      </c>
      <c r="J12" s="3">
        <v>46231</v>
      </c>
      <c r="K12" s="2"/>
    </row>
    <row r="13" spans="1:11" ht="28.5">
      <c r="A13" s="2" t="s">
        <v>52</v>
      </c>
      <c r="B13" s="2" t="s">
        <v>44</v>
      </c>
      <c r="C13" s="2" t="s">
        <v>53</v>
      </c>
      <c r="D13" s="2" t="s">
        <v>54</v>
      </c>
      <c r="E13" s="2" t="s">
        <v>55</v>
      </c>
      <c r="F13" s="2" t="s">
        <v>181</v>
      </c>
      <c r="G13" s="2" t="s">
        <v>169</v>
      </c>
      <c r="H13" s="2" t="s">
        <v>18</v>
      </c>
      <c r="I13" s="2" t="s">
        <v>170</v>
      </c>
      <c r="J13" s="3">
        <v>46231</v>
      </c>
      <c r="K13" s="2" t="s">
        <v>171</v>
      </c>
    </row>
    <row r="14" spans="1:11" ht="28.5">
      <c r="A14" s="2" t="s">
        <v>56</v>
      </c>
      <c r="B14" s="2" t="s">
        <v>44</v>
      </c>
      <c r="C14" s="2" t="s">
        <v>57</v>
      </c>
      <c r="D14" s="2" t="s">
        <v>58</v>
      </c>
      <c r="E14" s="2" t="s">
        <v>59</v>
      </c>
      <c r="F14" s="2" t="s">
        <v>182</v>
      </c>
      <c r="G14" s="2" t="s">
        <v>169</v>
      </c>
      <c r="H14" s="2" t="s">
        <v>33</v>
      </c>
      <c r="I14" s="2" t="s">
        <v>170</v>
      </c>
      <c r="J14" s="3">
        <v>46231</v>
      </c>
      <c r="K14" s="2" t="s">
        <v>172</v>
      </c>
    </row>
    <row r="15" spans="1:11" ht="28.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183</v>
      </c>
      <c r="G15" s="2" t="s">
        <v>169</v>
      </c>
      <c r="H15" s="2" t="s">
        <v>33</v>
      </c>
      <c r="I15" s="2" t="s">
        <v>170</v>
      </c>
      <c r="J15" s="3">
        <v>46231</v>
      </c>
      <c r="K15" s="2"/>
    </row>
    <row r="16" spans="1:11" ht="28.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184</v>
      </c>
      <c r="G16" s="2" t="s">
        <v>169</v>
      </c>
      <c r="H16" s="2" t="s">
        <v>33</v>
      </c>
      <c r="I16" s="2" t="s">
        <v>170</v>
      </c>
      <c r="J16" s="3">
        <v>46231</v>
      </c>
      <c r="K16" s="2"/>
    </row>
    <row r="17" spans="1:11" ht="28.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185</v>
      </c>
      <c r="G17" s="2" t="s">
        <v>169</v>
      </c>
      <c r="H17" s="2" t="s">
        <v>18</v>
      </c>
      <c r="I17" s="2" t="s">
        <v>170</v>
      </c>
      <c r="J17" s="3">
        <v>46231</v>
      </c>
      <c r="K17" s="2"/>
    </row>
    <row r="18" spans="1:11" ht="42.7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79</v>
      </c>
      <c r="F18" s="2" t="s">
        <v>186</v>
      </c>
      <c r="G18" s="2" t="s">
        <v>169</v>
      </c>
      <c r="H18" s="2" t="s">
        <v>18</v>
      </c>
      <c r="I18" s="2" t="s">
        <v>170</v>
      </c>
      <c r="J18" s="3">
        <v>46231</v>
      </c>
      <c r="K18" s="2"/>
    </row>
    <row r="19" spans="1:11" ht="28.5">
      <c r="A19" s="2" t="s">
        <v>80</v>
      </c>
      <c r="B19" s="2" t="s">
        <v>76</v>
      </c>
      <c r="C19" s="2" t="s">
        <v>81</v>
      </c>
      <c r="D19" s="2" t="s">
        <v>82</v>
      </c>
      <c r="E19" s="2" t="s">
        <v>83</v>
      </c>
      <c r="F19" s="2" t="s">
        <v>187</v>
      </c>
      <c r="G19" s="2" t="s">
        <v>169</v>
      </c>
      <c r="H19" s="2" t="s">
        <v>18</v>
      </c>
      <c r="I19" s="2" t="s">
        <v>170</v>
      </c>
      <c r="J19" s="3">
        <v>46231</v>
      </c>
      <c r="K19" s="2"/>
    </row>
    <row r="20" spans="1:11" ht="28.5">
      <c r="A20" s="2" t="s">
        <v>84</v>
      </c>
      <c r="B20" s="2" t="s">
        <v>76</v>
      </c>
      <c r="C20" s="2" t="s">
        <v>85</v>
      </c>
      <c r="D20" s="2" t="s">
        <v>86</v>
      </c>
      <c r="E20" s="2" t="s">
        <v>87</v>
      </c>
      <c r="F20" s="2" t="s">
        <v>188</v>
      </c>
      <c r="G20" s="2" t="s">
        <v>169</v>
      </c>
      <c r="H20" s="2" t="s">
        <v>33</v>
      </c>
      <c r="I20" s="2" t="s">
        <v>170</v>
      </c>
      <c r="J20" s="3">
        <v>46231</v>
      </c>
      <c r="K20" s="2"/>
    </row>
    <row r="21" spans="1:11" ht="28.5">
      <c r="A21" s="2" t="s">
        <v>88</v>
      </c>
      <c r="B21" s="2" t="s">
        <v>76</v>
      </c>
      <c r="C21" s="2" t="s">
        <v>89</v>
      </c>
      <c r="D21" s="2" t="s">
        <v>90</v>
      </c>
      <c r="E21" s="2" t="s">
        <v>91</v>
      </c>
      <c r="F21" s="2" t="s">
        <v>189</v>
      </c>
      <c r="G21" s="2" t="s">
        <v>169</v>
      </c>
      <c r="H21" s="2" t="s">
        <v>18</v>
      </c>
      <c r="I21" s="2" t="s">
        <v>170</v>
      </c>
      <c r="J21" s="3">
        <v>46231</v>
      </c>
      <c r="K21" s="2"/>
    </row>
    <row r="22" spans="1:11" ht="28.5">
      <c r="A22" s="2" t="s">
        <v>92</v>
      </c>
      <c r="B22" s="2" t="s">
        <v>76</v>
      </c>
      <c r="C22" s="2" t="s">
        <v>93</v>
      </c>
      <c r="D22" s="2" t="s">
        <v>94</v>
      </c>
      <c r="E22" s="2" t="s">
        <v>95</v>
      </c>
      <c r="F22" s="2" t="s">
        <v>190</v>
      </c>
      <c r="G22" s="2" t="s">
        <v>169</v>
      </c>
      <c r="H22" s="2" t="s">
        <v>18</v>
      </c>
      <c r="I22" s="2" t="s">
        <v>170</v>
      </c>
      <c r="J22" s="3">
        <v>46231</v>
      </c>
      <c r="K22" s="2"/>
    </row>
    <row r="23" spans="1:11" ht="28.5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100</v>
      </c>
      <c r="F23" s="2" t="s">
        <v>191</v>
      </c>
      <c r="G23" s="2" t="s">
        <v>169</v>
      </c>
      <c r="H23" s="2" t="s">
        <v>33</v>
      </c>
      <c r="I23" s="2" t="s">
        <v>170</v>
      </c>
      <c r="J23" s="3">
        <v>46231</v>
      </c>
      <c r="K23" s="2"/>
    </row>
    <row r="24" spans="1:11" ht="28.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2" t="s">
        <v>192</v>
      </c>
      <c r="G24" s="2" t="s">
        <v>169</v>
      </c>
      <c r="H24" s="2" t="s">
        <v>18</v>
      </c>
      <c r="I24" s="2" t="s">
        <v>170</v>
      </c>
      <c r="J24" s="3">
        <v>46231</v>
      </c>
      <c r="K24" s="2"/>
    </row>
    <row r="25" spans="1:11">
      <c r="J25" s="4"/>
    </row>
    <row r="26" spans="1:11">
      <c r="J26" s="4"/>
    </row>
    <row r="27" spans="1:11">
      <c r="J27" s="4"/>
    </row>
    <row r="28" spans="1:11">
      <c r="J28" s="4"/>
    </row>
    <row r="29" spans="1:11">
      <c r="J29" s="4"/>
    </row>
    <row r="30" spans="1:11">
      <c r="J30" s="4"/>
    </row>
    <row r="31" spans="1:11">
      <c r="J31" s="4"/>
    </row>
    <row r="32" spans="1:11">
      <c r="J32" s="4"/>
    </row>
    <row r="33" spans="10:10">
      <c r="J33" s="4"/>
    </row>
    <row r="34" spans="10:10">
      <c r="J34" s="4"/>
    </row>
    <row r="35" spans="10:10">
      <c r="J35" s="4"/>
    </row>
    <row r="36" spans="10:10">
      <c r="J36" s="4"/>
    </row>
    <row r="37" spans="10:10">
      <c r="J37" s="4"/>
    </row>
    <row r="38" spans="10:10">
      <c r="J38" s="4"/>
    </row>
    <row r="39" spans="10:10">
      <c r="J39" s="4"/>
    </row>
    <row r="40" spans="10:10">
      <c r="J40" s="4"/>
    </row>
    <row r="41" spans="10:10">
      <c r="J41" s="4"/>
    </row>
    <row r="42" spans="10:10">
      <c r="J42" s="4"/>
    </row>
    <row r="43" spans="10:10">
      <c r="J43" s="4"/>
    </row>
    <row r="44" spans="10:10">
      <c r="J44" s="4"/>
    </row>
    <row r="45" spans="10:10">
      <c r="J45" s="4"/>
    </row>
    <row r="46" spans="10:10">
      <c r="J46" s="4"/>
    </row>
    <row r="47" spans="10:10">
      <c r="J47" s="4"/>
    </row>
    <row r="48" spans="10:10">
      <c r="J48" s="4"/>
    </row>
    <row r="49" spans="10:10">
      <c r="J49" s="4"/>
    </row>
    <row r="50" spans="10:10">
      <c r="J50" s="4"/>
    </row>
    <row r="51" spans="10:10">
      <c r="J51" s="4"/>
    </row>
    <row r="52" spans="10:10">
      <c r="J52" s="4"/>
    </row>
    <row r="53" spans="10:10">
      <c r="J53" s="4"/>
    </row>
    <row r="54" spans="10:10">
      <c r="J54" s="4"/>
    </row>
    <row r="55" spans="10:10">
      <c r="J55" s="4"/>
    </row>
    <row r="56" spans="10:10">
      <c r="J56" s="4"/>
    </row>
    <row r="57" spans="10:10">
      <c r="J57" s="4"/>
    </row>
    <row r="58" spans="10:10">
      <c r="J58" s="4"/>
    </row>
    <row r="59" spans="10:10">
      <c r="J59" s="4"/>
    </row>
    <row r="60" spans="10:10">
      <c r="J60" s="4"/>
    </row>
    <row r="61" spans="10:10">
      <c r="J61" s="4"/>
    </row>
    <row r="62" spans="10:10">
      <c r="J62" s="4"/>
    </row>
    <row r="63" spans="10:10">
      <c r="J63" s="4"/>
    </row>
    <row r="64" spans="10:10">
      <c r="J64" s="4"/>
    </row>
    <row r="65" spans="10:10">
      <c r="J65" s="4"/>
    </row>
    <row r="66" spans="10:10">
      <c r="J66" s="4"/>
    </row>
    <row r="67" spans="10:10">
      <c r="J67" s="4"/>
    </row>
    <row r="68" spans="10:10">
      <c r="J68" s="4"/>
    </row>
    <row r="69" spans="10:10">
      <c r="J69" s="4"/>
    </row>
    <row r="70" spans="10:10">
      <c r="J70" s="4"/>
    </row>
    <row r="71" spans="10:10">
      <c r="J71" s="4"/>
    </row>
    <row r="72" spans="10:10">
      <c r="J72" s="4"/>
    </row>
    <row r="73" spans="10:10">
      <c r="J73" s="4"/>
    </row>
    <row r="74" spans="10:10">
      <c r="J74" s="4"/>
    </row>
    <row r="75" spans="10:10">
      <c r="J75" s="4"/>
    </row>
    <row r="76" spans="10:10">
      <c r="J76" s="4"/>
    </row>
    <row r="77" spans="10:10">
      <c r="J77" s="4"/>
    </row>
    <row r="78" spans="10:10">
      <c r="J78" s="4"/>
    </row>
    <row r="79" spans="10:10">
      <c r="J79" s="4"/>
    </row>
    <row r="80" spans="10:10">
      <c r="J80" s="4"/>
    </row>
    <row r="81" spans="10:10">
      <c r="J81" s="4"/>
    </row>
    <row r="82" spans="10:10">
      <c r="J82" s="4"/>
    </row>
    <row r="83" spans="10:10">
      <c r="J83" s="4"/>
    </row>
    <row r="84" spans="10:10">
      <c r="J84" s="4"/>
    </row>
    <row r="85" spans="10:10">
      <c r="J85" s="4"/>
    </row>
    <row r="86" spans="10:10">
      <c r="J86" s="4"/>
    </row>
    <row r="87" spans="10:10">
      <c r="J87" s="4"/>
    </row>
    <row r="88" spans="10:10">
      <c r="J88" s="4"/>
    </row>
    <row r="89" spans="10:10">
      <c r="J89" s="4"/>
    </row>
    <row r="90" spans="10:10">
      <c r="J90" s="4"/>
    </row>
    <row r="91" spans="10:10">
      <c r="J91" s="4"/>
    </row>
    <row r="92" spans="10:10">
      <c r="J92" s="4"/>
    </row>
    <row r="93" spans="10:10">
      <c r="J93" s="4"/>
    </row>
    <row r="94" spans="10:10">
      <c r="J94" s="4"/>
    </row>
    <row r="95" spans="10:10">
      <c r="J95" s="4"/>
    </row>
    <row r="96" spans="10:10">
      <c r="J96" s="4"/>
    </row>
    <row r="97" spans="10:10">
      <c r="J97" s="4"/>
    </row>
    <row r="98" spans="10:10">
      <c r="J98" s="4"/>
    </row>
    <row r="99" spans="10:10">
      <c r="J99" s="4"/>
    </row>
    <row r="100" spans="10:10">
      <c r="J100" s="4"/>
    </row>
    <row r="101" spans="10:10">
      <c r="J101" s="4"/>
    </row>
    <row r="102" spans="10:10">
      <c r="J102" s="4"/>
    </row>
    <row r="103" spans="10:10">
      <c r="J103" s="4"/>
    </row>
    <row r="104" spans="10:10">
      <c r="J104" s="4"/>
    </row>
    <row r="105" spans="10:10">
      <c r="J105" s="4"/>
    </row>
    <row r="106" spans="10:10">
      <c r="J106" s="4"/>
    </row>
    <row r="107" spans="10:10">
      <c r="J107" s="4"/>
    </row>
    <row r="108" spans="10:10">
      <c r="J108" s="4"/>
    </row>
    <row r="109" spans="10:10">
      <c r="J109" s="4"/>
    </row>
    <row r="110" spans="10:10">
      <c r="J110" s="4"/>
    </row>
    <row r="111" spans="10:10">
      <c r="J111" s="4"/>
    </row>
    <row r="112" spans="10:10">
      <c r="J112" s="4"/>
    </row>
    <row r="113" spans="10:10">
      <c r="J113" s="4"/>
    </row>
    <row r="114" spans="10:10">
      <c r="J114" s="4"/>
    </row>
    <row r="115" spans="10:10">
      <c r="J115" s="4"/>
    </row>
    <row r="116" spans="10:10">
      <c r="J116" s="4"/>
    </row>
    <row r="117" spans="10:10">
      <c r="J117" s="4"/>
    </row>
    <row r="118" spans="10:10">
      <c r="J118" s="4"/>
    </row>
    <row r="119" spans="10:10">
      <c r="J119" s="4"/>
    </row>
    <row r="120" spans="10:10">
      <c r="J120" s="4"/>
    </row>
    <row r="121" spans="10:10">
      <c r="J121" s="4"/>
    </row>
    <row r="122" spans="10:10">
      <c r="J122" s="4"/>
    </row>
    <row r="123" spans="10:10">
      <c r="J123" s="4"/>
    </row>
    <row r="124" spans="10:10">
      <c r="J124" s="4"/>
    </row>
    <row r="125" spans="10:10">
      <c r="J125" s="4"/>
    </row>
    <row r="126" spans="10:10">
      <c r="J126" s="4"/>
    </row>
    <row r="127" spans="10:10">
      <c r="J127" s="4"/>
    </row>
    <row r="128" spans="10:10">
      <c r="J128" s="4"/>
    </row>
    <row r="129" spans="10:10">
      <c r="J129" s="4"/>
    </row>
    <row r="130" spans="10:10">
      <c r="J130" s="4"/>
    </row>
    <row r="131" spans="10:10">
      <c r="J131" s="4"/>
    </row>
    <row r="132" spans="10:10">
      <c r="J132" s="4"/>
    </row>
    <row r="133" spans="10:10">
      <c r="J133" s="4"/>
    </row>
    <row r="134" spans="10:10">
      <c r="J134" s="4"/>
    </row>
    <row r="135" spans="10:10">
      <c r="J135" s="4"/>
    </row>
    <row r="136" spans="10:10">
      <c r="J136" s="4"/>
    </row>
    <row r="137" spans="10:10">
      <c r="J137" s="4"/>
    </row>
    <row r="138" spans="10:10">
      <c r="J138" s="4"/>
    </row>
    <row r="139" spans="10:10">
      <c r="J139" s="4"/>
    </row>
    <row r="140" spans="10:10">
      <c r="J140" s="4"/>
    </row>
    <row r="141" spans="10:10">
      <c r="J141" s="4"/>
    </row>
    <row r="142" spans="10:10">
      <c r="J142" s="4"/>
    </row>
    <row r="143" spans="10:10">
      <c r="J143" s="4"/>
    </row>
    <row r="144" spans="10:10">
      <c r="J144" s="4"/>
    </row>
    <row r="145" spans="10:10">
      <c r="J145" s="4"/>
    </row>
    <row r="146" spans="10:10">
      <c r="J146" s="4"/>
    </row>
    <row r="147" spans="10:10">
      <c r="J147" s="4"/>
    </row>
    <row r="148" spans="10:10">
      <c r="J148" s="4"/>
    </row>
    <row r="149" spans="10:10">
      <c r="J149" s="4"/>
    </row>
    <row r="150" spans="10:10">
      <c r="J150" s="4"/>
    </row>
    <row r="151" spans="10:10">
      <c r="J151" s="4"/>
    </row>
    <row r="152" spans="10:10">
      <c r="J152" s="4"/>
    </row>
    <row r="153" spans="10:10">
      <c r="J153" s="4"/>
    </row>
    <row r="154" spans="10:10">
      <c r="J154" s="4"/>
    </row>
    <row r="155" spans="10:10">
      <c r="J155" s="4"/>
    </row>
    <row r="156" spans="10:10">
      <c r="J156" s="4"/>
    </row>
    <row r="157" spans="10:10">
      <c r="J157" s="4"/>
    </row>
    <row r="158" spans="10:10">
      <c r="J158" s="4"/>
    </row>
    <row r="159" spans="10:10">
      <c r="J159" s="4"/>
    </row>
    <row r="160" spans="10:10">
      <c r="J160" s="4"/>
    </row>
    <row r="161" spans="10:10">
      <c r="J161" s="4"/>
    </row>
    <row r="162" spans="10:10">
      <c r="J162" s="4"/>
    </row>
    <row r="163" spans="10:10">
      <c r="J163" s="4"/>
    </row>
    <row r="164" spans="10:10">
      <c r="J164" s="4"/>
    </row>
    <row r="165" spans="10:10">
      <c r="J165" s="4"/>
    </row>
    <row r="166" spans="10:10">
      <c r="J166" s="4"/>
    </row>
    <row r="167" spans="10:10">
      <c r="J167" s="4"/>
    </row>
    <row r="168" spans="10:10">
      <c r="J168" s="4"/>
    </row>
    <row r="169" spans="10:10">
      <c r="J169" s="4"/>
    </row>
    <row r="170" spans="10:10">
      <c r="J170" s="4"/>
    </row>
    <row r="171" spans="10:10">
      <c r="J171" s="4"/>
    </row>
    <row r="172" spans="10:10">
      <c r="J172" s="4"/>
    </row>
    <row r="173" spans="10:10">
      <c r="J173" s="4"/>
    </row>
    <row r="174" spans="10:10">
      <c r="J174" s="4"/>
    </row>
    <row r="175" spans="10:10">
      <c r="J175" s="4"/>
    </row>
    <row r="176" spans="10:10">
      <c r="J176" s="4"/>
    </row>
    <row r="177" spans="10:10">
      <c r="J177" s="4"/>
    </row>
    <row r="178" spans="10:10">
      <c r="J178" s="4"/>
    </row>
    <row r="179" spans="10:10">
      <c r="J179" s="4"/>
    </row>
    <row r="180" spans="10:10">
      <c r="J180" s="4"/>
    </row>
    <row r="181" spans="10:10">
      <c r="J181" s="4"/>
    </row>
    <row r="182" spans="10:10">
      <c r="J182" s="4"/>
    </row>
    <row r="183" spans="10:10">
      <c r="J183" s="4"/>
    </row>
    <row r="184" spans="10:10">
      <c r="J184" s="4"/>
    </row>
    <row r="185" spans="10:10">
      <c r="J185" s="4"/>
    </row>
    <row r="186" spans="10:10">
      <c r="J186" s="4"/>
    </row>
    <row r="187" spans="10:10">
      <c r="J187" s="4"/>
    </row>
    <row r="188" spans="10:10">
      <c r="J188" s="4"/>
    </row>
    <row r="189" spans="10:10">
      <c r="J189" s="4"/>
    </row>
    <row r="190" spans="10:10">
      <c r="J190" s="4"/>
    </row>
    <row r="191" spans="10:10">
      <c r="J191" s="4"/>
    </row>
    <row r="192" spans="10:10">
      <c r="J192" s="4"/>
    </row>
    <row r="193" spans="10:10">
      <c r="J193" s="4"/>
    </row>
    <row r="194" spans="10:10">
      <c r="J194" s="4"/>
    </row>
    <row r="195" spans="10:10">
      <c r="J195" s="4"/>
    </row>
    <row r="196" spans="10:10">
      <c r="J196" s="4"/>
    </row>
    <row r="197" spans="10:10">
      <c r="J197" s="4"/>
    </row>
    <row r="198" spans="10:10">
      <c r="J198" s="4"/>
    </row>
    <row r="199" spans="10:10">
      <c r="J199" s="4"/>
    </row>
    <row r="200" spans="10:10">
      <c r="J200" s="4"/>
    </row>
  </sheetData>
  <mergeCells count="2">
    <mergeCell ref="A1:K1"/>
    <mergeCell ref="A2:K2"/>
  </mergeCells>
  <conditionalFormatting sqref="G5:G200">
    <cfRule type="expression" dxfId="7" priority="1">
      <formula>G5="Pass"</formula>
    </cfRule>
    <cfRule type="expression" dxfId="6" priority="2">
      <formula>G5="Fail"</formula>
    </cfRule>
    <cfRule type="expression" dxfId="5" priority="3">
      <formula>G5="Blocked"</formula>
    </cfRule>
    <cfRule type="expression" dxfId="4" priority="4">
      <formula>G5="In Progress"</formula>
    </cfRule>
  </conditionalFormatting>
  <dataValidations count="2">
    <dataValidation type="list" sqref="G5:G200" xr:uid="{00000000-0002-0000-0000-000000000000}">
      <formula1>"Not Started,In Progress,Pass,Fail,Blocked"</formula1>
    </dataValidation>
    <dataValidation type="list" sqref="H5:H200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workbookViewId="0"/>
  </sheetViews>
  <sheetFormatPr defaultRowHeight="14.25"/>
  <cols>
    <col min="1" max="1" width="11" customWidth="1"/>
    <col min="2" max="2" width="14" customWidth="1"/>
    <col min="3" max="3" width="18" customWidth="1"/>
    <col min="4" max="4" width="35" customWidth="1"/>
    <col min="5" max="5" width="40" customWidth="1"/>
    <col min="6" max="6" width="12" customWidth="1"/>
    <col min="7" max="8" width="16" customWidth="1"/>
    <col min="9" max="9" width="13" customWidth="1"/>
    <col min="10" max="10" width="15" customWidth="1"/>
  </cols>
  <sheetData>
    <row r="1" spans="1:10" ht="20.25">
      <c r="A1" s="17" t="s">
        <v>106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30">
      <c r="A3" s="5" t="s">
        <v>107</v>
      </c>
      <c r="B3" s="5" t="s">
        <v>108</v>
      </c>
      <c r="C3" s="5" t="s">
        <v>109</v>
      </c>
      <c r="D3" s="5" t="s">
        <v>110</v>
      </c>
      <c r="E3" s="5" t="s">
        <v>111</v>
      </c>
      <c r="F3" s="5" t="s">
        <v>112</v>
      </c>
      <c r="G3" s="5" t="s">
        <v>8</v>
      </c>
      <c r="H3" s="5" t="s">
        <v>113</v>
      </c>
      <c r="I3" s="5" t="s">
        <v>114</v>
      </c>
      <c r="J3" s="5" t="s">
        <v>115</v>
      </c>
    </row>
    <row r="4" spans="1:10" ht="15">
      <c r="A4" s="2" t="s">
        <v>116</v>
      </c>
      <c r="B4" s="2"/>
      <c r="C4" s="2"/>
      <c r="D4" s="2"/>
      <c r="E4" s="2"/>
      <c r="F4" s="2" t="s">
        <v>33</v>
      </c>
      <c r="G4" s="2" t="s">
        <v>117</v>
      </c>
      <c r="H4" s="2"/>
      <c r="I4" s="3"/>
      <c r="J4" s="2"/>
    </row>
    <row r="5" spans="1:10" ht="15">
      <c r="A5" s="2" t="s">
        <v>118</v>
      </c>
      <c r="B5" s="2"/>
      <c r="C5" s="2"/>
      <c r="D5" s="2"/>
      <c r="E5" s="2"/>
      <c r="F5" s="2" t="s">
        <v>33</v>
      </c>
      <c r="G5" s="2" t="s">
        <v>117</v>
      </c>
      <c r="H5" s="2"/>
      <c r="I5" s="3"/>
      <c r="J5" s="2"/>
    </row>
    <row r="6" spans="1:10" ht="15">
      <c r="A6" s="2" t="s">
        <v>119</v>
      </c>
      <c r="B6" s="2"/>
      <c r="C6" s="2"/>
      <c r="D6" s="2"/>
      <c r="E6" s="2"/>
      <c r="F6" s="2" t="s">
        <v>33</v>
      </c>
      <c r="G6" s="2" t="s">
        <v>117</v>
      </c>
      <c r="H6" s="2"/>
      <c r="I6" s="3"/>
      <c r="J6" s="2"/>
    </row>
    <row r="7" spans="1:10" ht="15">
      <c r="A7" s="2" t="s">
        <v>120</v>
      </c>
      <c r="B7" s="2"/>
      <c r="C7" s="2"/>
      <c r="D7" s="2"/>
      <c r="E7" s="2"/>
      <c r="F7" s="2" t="s">
        <v>33</v>
      </c>
      <c r="G7" s="2" t="s">
        <v>117</v>
      </c>
      <c r="H7" s="2"/>
      <c r="I7" s="3"/>
      <c r="J7" s="2"/>
    </row>
    <row r="8" spans="1:10" ht="15">
      <c r="A8" s="2" t="s">
        <v>121</v>
      </c>
      <c r="B8" s="2"/>
      <c r="C8" s="2"/>
      <c r="D8" s="2"/>
      <c r="E8" s="2"/>
      <c r="F8" s="2" t="s">
        <v>33</v>
      </c>
      <c r="G8" s="2" t="s">
        <v>117</v>
      </c>
      <c r="H8" s="2"/>
      <c r="I8" s="3"/>
      <c r="J8" s="2"/>
    </row>
    <row r="9" spans="1:10" ht="15">
      <c r="A9" s="2" t="s">
        <v>122</v>
      </c>
      <c r="B9" s="2"/>
      <c r="C9" s="2"/>
      <c r="D9" s="2"/>
      <c r="E9" s="2"/>
      <c r="F9" s="2" t="s">
        <v>33</v>
      </c>
      <c r="G9" s="2" t="s">
        <v>117</v>
      </c>
      <c r="H9" s="2"/>
      <c r="I9" s="3"/>
      <c r="J9" s="2"/>
    </row>
    <row r="10" spans="1:10" ht="15">
      <c r="A10" s="2" t="s">
        <v>123</v>
      </c>
      <c r="B10" s="2"/>
      <c r="C10" s="2"/>
      <c r="D10" s="2"/>
      <c r="E10" s="2"/>
      <c r="F10" s="2" t="s">
        <v>33</v>
      </c>
      <c r="G10" s="2" t="s">
        <v>117</v>
      </c>
      <c r="H10" s="2"/>
      <c r="I10" s="3"/>
      <c r="J10" s="2"/>
    </row>
    <row r="11" spans="1:10" ht="15">
      <c r="A11" s="2" t="s">
        <v>124</v>
      </c>
      <c r="B11" s="2"/>
      <c r="C11" s="2"/>
      <c r="D11" s="2"/>
      <c r="E11" s="2"/>
      <c r="F11" s="2" t="s">
        <v>33</v>
      </c>
      <c r="G11" s="2" t="s">
        <v>117</v>
      </c>
      <c r="H11" s="2"/>
      <c r="I11" s="3"/>
      <c r="J11" s="2"/>
    </row>
    <row r="12" spans="1:10" ht="15">
      <c r="A12" s="2" t="s">
        <v>125</v>
      </c>
      <c r="B12" s="2"/>
      <c r="C12" s="2"/>
      <c r="D12" s="2"/>
      <c r="E12" s="2"/>
      <c r="F12" s="2" t="s">
        <v>33</v>
      </c>
      <c r="G12" s="2" t="s">
        <v>117</v>
      </c>
      <c r="H12" s="2"/>
      <c r="I12" s="3"/>
      <c r="J12" s="2"/>
    </row>
    <row r="13" spans="1:10" ht="15">
      <c r="A13" s="2" t="s">
        <v>126</v>
      </c>
      <c r="B13" s="2"/>
      <c r="C13" s="2"/>
      <c r="D13" s="2"/>
      <c r="E13" s="2"/>
      <c r="F13" s="2" t="s">
        <v>33</v>
      </c>
      <c r="G13" s="2" t="s">
        <v>117</v>
      </c>
      <c r="H13" s="2"/>
      <c r="I13" s="3"/>
      <c r="J13" s="2"/>
    </row>
    <row r="14" spans="1:10" ht="15">
      <c r="A14" s="2" t="s">
        <v>127</v>
      </c>
      <c r="B14" s="2"/>
      <c r="C14" s="2"/>
      <c r="D14" s="2"/>
      <c r="E14" s="2"/>
      <c r="F14" s="2" t="s">
        <v>33</v>
      </c>
      <c r="G14" s="2" t="s">
        <v>117</v>
      </c>
      <c r="H14" s="2"/>
      <c r="I14" s="3"/>
      <c r="J14" s="2"/>
    </row>
    <row r="15" spans="1:10" ht="15">
      <c r="A15" s="2" t="s">
        <v>128</v>
      </c>
      <c r="B15" s="2"/>
      <c r="C15" s="2"/>
      <c r="D15" s="2"/>
      <c r="E15" s="2"/>
      <c r="F15" s="2" t="s">
        <v>33</v>
      </c>
      <c r="G15" s="2" t="s">
        <v>117</v>
      </c>
      <c r="H15" s="2"/>
      <c r="I15" s="3"/>
      <c r="J15" s="2"/>
    </row>
    <row r="16" spans="1:10" ht="15">
      <c r="A16" s="2" t="s">
        <v>129</v>
      </c>
      <c r="B16" s="2"/>
      <c r="C16" s="2"/>
      <c r="D16" s="2"/>
      <c r="E16" s="2"/>
      <c r="F16" s="2" t="s">
        <v>33</v>
      </c>
      <c r="G16" s="2" t="s">
        <v>117</v>
      </c>
      <c r="H16" s="2"/>
      <c r="I16" s="3"/>
      <c r="J16" s="2"/>
    </row>
    <row r="17" spans="1:10" ht="15">
      <c r="A17" s="2" t="s">
        <v>130</v>
      </c>
      <c r="B17" s="2"/>
      <c r="C17" s="2"/>
      <c r="D17" s="2"/>
      <c r="E17" s="2"/>
      <c r="F17" s="2" t="s">
        <v>33</v>
      </c>
      <c r="G17" s="2" t="s">
        <v>117</v>
      </c>
      <c r="H17" s="2"/>
      <c r="I17" s="3"/>
      <c r="J17" s="2"/>
    </row>
    <row r="18" spans="1:10" ht="15">
      <c r="A18" s="2" t="s">
        <v>131</v>
      </c>
      <c r="B18" s="2"/>
      <c r="C18" s="2"/>
      <c r="D18" s="2"/>
      <c r="E18" s="2"/>
      <c r="F18" s="2" t="s">
        <v>33</v>
      </c>
      <c r="G18" s="2" t="s">
        <v>117</v>
      </c>
      <c r="H18" s="2"/>
      <c r="I18" s="3"/>
      <c r="J18" s="2"/>
    </row>
    <row r="19" spans="1:10" ht="15">
      <c r="A19" s="2" t="s">
        <v>132</v>
      </c>
      <c r="B19" s="2"/>
      <c r="C19" s="2"/>
      <c r="D19" s="2"/>
      <c r="E19" s="2"/>
      <c r="F19" s="2" t="s">
        <v>33</v>
      </c>
      <c r="G19" s="2" t="s">
        <v>117</v>
      </c>
      <c r="H19" s="2"/>
      <c r="I19" s="3"/>
      <c r="J19" s="2"/>
    </row>
    <row r="20" spans="1:10" ht="15">
      <c r="A20" s="2" t="s">
        <v>133</v>
      </c>
      <c r="B20" s="2"/>
      <c r="C20" s="2"/>
      <c r="D20" s="2"/>
      <c r="E20" s="2"/>
      <c r="F20" s="2" t="s">
        <v>33</v>
      </c>
      <c r="G20" s="2" t="s">
        <v>117</v>
      </c>
      <c r="H20" s="2"/>
      <c r="I20" s="3"/>
      <c r="J20" s="2"/>
    </row>
    <row r="21" spans="1:10" ht="15">
      <c r="A21" s="2" t="s">
        <v>134</v>
      </c>
      <c r="B21" s="2"/>
      <c r="C21" s="2"/>
      <c r="D21" s="2"/>
      <c r="E21" s="2"/>
      <c r="F21" s="2" t="s">
        <v>33</v>
      </c>
      <c r="G21" s="2" t="s">
        <v>117</v>
      </c>
      <c r="H21" s="2"/>
      <c r="I21" s="3"/>
      <c r="J21" s="2"/>
    </row>
    <row r="22" spans="1:10" ht="15">
      <c r="A22" s="2" t="s">
        <v>135</v>
      </c>
      <c r="B22" s="2"/>
      <c r="C22" s="2"/>
      <c r="D22" s="2"/>
      <c r="E22" s="2"/>
      <c r="F22" s="2" t="s">
        <v>33</v>
      </c>
      <c r="G22" s="2" t="s">
        <v>117</v>
      </c>
      <c r="H22" s="2"/>
      <c r="I22" s="3"/>
      <c r="J22" s="2"/>
    </row>
    <row r="23" spans="1:10" ht="15">
      <c r="A23" s="2" t="s">
        <v>136</v>
      </c>
      <c r="B23" s="2"/>
      <c r="C23" s="2"/>
      <c r="D23" s="2"/>
      <c r="E23" s="2"/>
      <c r="F23" s="2" t="s">
        <v>33</v>
      </c>
      <c r="G23" s="2" t="s">
        <v>117</v>
      </c>
      <c r="H23" s="2"/>
      <c r="I23" s="3"/>
      <c r="J23" s="2"/>
    </row>
    <row r="24" spans="1:10">
      <c r="I24" s="4"/>
    </row>
    <row r="25" spans="1:10">
      <c r="I25" s="4"/>
    </row>
    <row r="26" spans="1:10">
      <c r="I26" s="4"/>
    </row>
    <row r="27" spans="1:10">
      <c r="I27" s="4"/>
    </row>
    <row r="28" spans="1:10">
      <c r="I28" s="4"/>
    </row>
    <row r="29" spans="1:10">
      <c r="I29" s="4"/>
    </row>
    <row r="30" spans="1:10">
      <c r="I30" s="4"/>
    </row>
    <row r="31" spans="1:10">
      <c r="I31" s="4"/>
    </row>
    <row r="32" spans="1:10">
      <c r="I32" s="4"/>
    </row>
    <row r="33" spans="9:9">
      <c r="I33" s="4"/>
    </row>
    <row r="34" spans="9:9">
      <c r="I34" s="4"/>
    </row>
    <row r="35" spans="9:9">
      <c r="I35" s="4"/>
    </row>
    <row r="36" spans="9:9">
      <c r="I36" s="4"/>
    </row>
    <row r="37" spans="9:9">
      <c r="I37" s="4"/>
    </row>
    <row r="38" spans="9:9">
      <c r="I38" s="4"/>
    </row>
    <row r="39" spans="9:9">
      <c r="I39" s="4"/>
    </row>
    <row r="40" spans="9:9">
      <c r="I40" s="4"/>
    </row>
    <row r="41" spans="9:9">
      <c r="I41" s="4"/>
    </row>
    <row r="42" spans="9:9">
      <c r="I42" s="4"/>
    </row>
    <row r="43" spans="9:9">
      <c r="I43" s="4"/>
    </row>
    <row r="44" spans="9:9">
      <c r="I44" s="4"/>
    </row>
    <row r="45" spans="9:9">
      <c r="I45" s="4"/>
    </row>
    <row r="46" spans="9:9">
      <c r="I46" s="4"/>
    </row>
    <row r="47" spans="9:9">
      <c r="I47" s="4"/>
    </row>
    <row r="48" spans="9:9">
      <c r="I48" s="4"/>
    </row>
    <row r="49" spans="9:9">
      <c r="I49" s="4"/>
    </row>
    <row r="50" spans="9:9">
      <c r="I50" s="4"/>
    </row>
    <row r="51" spans="9:9">
      <c r="I51" s="4"/>
    </row>
    <row r="52" spans="9:9">
      <c r="I52" s="4"/>
    </row>
    <row r="53" spans="9:9">
      <c r="I53" s="4"/>
    </row>
    <row r="54" spans="9:9">
      <c r="I54" s="4"/>
    </row>
    <row r="55" spans="9:9">
      <c r="I55" s="4"/>
    </row>
    <row r="56" spans="9:9">
      <c r="I56" s="4"/>
    </row>
    <row r="57" spans="9:9">
      <c r="I57" s="4"/>
    </row>
    <row r="58" spans="9:9">
      <c r="I58" s="4"/>
    </row>
    <row r="59" spans="9:9">
      <c r="I59" s="4"/>
    </row>
    <row r="60" spans="9:9">
      <c r="I60" s="4"/>
    </row>
    <row r="61" spans="9:9">
      <c r="I61" s="4"/>
    </row>
    <row r="62" spans="9:9">
      <c r="I62" s="4"/>
    </row>
    <row r="63" spans="9:9">
      <c r="I63" s="4"/>
    </row>
    <row r="64" spans="9:9">
      <c r="I64" s="4"/>
    </row>
    <row r="65" spans="9:9">
      <c r="I65" s="4"/>
    </row>
    <row r="66" spans="9:9">
      <c r="I66" s="4"/>
    </row>
    <row r="67" spans="9:9">
      <c r="I67" s="4"/>
    </row>
    <row r="68" spans="9:9">
      <c r="I68" s="4"/>
    </row>
    <row r="69" spans="9:9">
      <c r="I69" s="4"/>
    </row>
    <row r="70" spans="9:9">
      <c r="I70" s="4"/>
    </row>
    <row r="71" spans="9:9">
      <c r="I71" s="4"/>
    </row>
    <row r="72" spans="9:9">
      <c r="I72" s="4"/>
    </row>
    <row r="73" spans="9:9">
      <c r="I73" s="4"/>
    </row>
    <row r="74" spans="9:9">
      <c r="I74" s="4"/>
    </row>
    <row r="75" spans="9:9">
      <c r="I75" s="4"/>
    </row>
    <row r="76" spans="9:9">
      <c r="I76" s="4"/>
    </row>
    <row r="77" spans="9:9">
      <c r="I77" s="4"/>
    </row>
    <row r="78" spans="9:9">
      <c r="I78" s="4"/>
    </row>
    <row r="79" spans="9:9">
      <c r="I79" s="4"/>
    </row>
    <row r="80" spans="9:9">
      <c r="I80" s="4"/>
    </row>
    <row r="81" spans="9:9">
      <c r="I81" s="4"/>
    </row>
    <row r="82" spans="9:9">
      <c r="I82" s="4"/>
    </row>
    <row r="83" spans="9:9">
      <c r="I83" s="4"/>
    </row>
    <row r="84" spans="9:9">
      <c r="I84" s="4"/>
    </row>
    <row r="85" spans="9:9">
      <c r="I85" s="4"/>
    </row>
    <row r="86" spans="9:9">
      <c r="I86" s="4"/>
    </row>
    <row r="87" spans="9:9">
      <c r="I87" s="4"/>
    </row>
    <row r="88" spans="9:9">
      <c r="I88" s="4"/>
    </row>
    <row r="89" spans="9:9">
      <c r="I89" s="4"/>
    </row>
    <row r="90" spans="9:9">
      <c r="I90" s="4"/>
    </row>
    <row r="91" spans="9:9">
      <c r="I91" s="4"/>
    </row>
    <row r="92" spans="9:9">
      <c r="I92" s="4"/>
    </row>
    <row r="93" spans="9:9">
      <c r="I93" s="4"/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</sheetData>
  <mergeCells count="1">
    <mergeCell ref="A1:J1"/>
  </mergeCells>
  <conditionalFormatting sqref="G4:G100">
    <cfRule type="expression" dxfId="3" priority="1">
      <formula>G4="Closed"</formula>
    </cfRule>
    <cfRule type="expression" dxfId="2" priority="2">
      <formula>G4="Open"</formula>
    </cfRule>
    <cfRule type="expression" dxfId="1" priority="3">
      <formula>G4="In Progress"</formula>
    </cfRule>
    <cfRule type="expression" dxfId="0" priority="4">
      <formula>G4="Retest Needed"</formula>
    </cfRule>
  </conditionalFormatting>
  <dataValidations count="3">
    <dataValidation type="list" sqref="F4:F100" xr:uid="{00000000-0002-0000-0100-000000000000}">
      <formula1>"Critical,High,Medium,Low"</formula1>
    </dataValidation>
    <dataValidation type="list" sqref="G4:G100" xr:uid="{00000000-0002-0000-0100-000001000000}">
      <formula1>"Open,In Progress,Fixed,Retest Needed,Closed"</formula1>
    </dataValidation>
    <dataValidation type="list" sqref="J4:J100" xr:uid="{00000000-0002-0000-0100-000002000000}">
      <formula1>"Not Retested,Pass,Fail"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25"/>
  <cols>
    <col min="1" max="1" width="8" customWidth="1"/>
    <col min="2" max="2" width="26" customWidth="1"/>
    <col min="3" max="3" width="52" customWidth="1"/>
    <col min="4" max="5" width="14" customWidth="1"/>
  </cols>
  <sheetData>
    <row r="1" spans="1:8" ht="20.25">
      <c r="A1" s="18" t="s">
        <v>137</v>
      </c>
      <c r="B1" s="16"/>
      <c r="C1" s="16"/>
      <c r="D1" s="16"/>
      <c r="E1" s="16"/>
      <c r="F1" s="16"/>
      <c r="G1" s="16"/>
      <c r="H1" s="16"/>
    </row>
    <row r="3" spans="1:8" ht="15">
      <c r="A3" s="6" t="s">
        <v>138</v>
      </c>
      <c r="B3" s="7" t="s">
        <v>139</v>
      </c>
      <c r="D3" s="12" t="s">
        <v>140</v>
      </c>
      <c r="E3" s="13" t="s">
        <v>139</v>
      </c>
    </row>
    <row r="4" spans="1:8">
      <c r="A4" s="8" t="s">
        <v>141</v>
      </c>
      <c r="B4" s="9">
        <f>COUNTA('Test Cases'!A5:A200)</f>
        <v>20</v>
      </c>
      <c r="D4" s="8" t="s">
        <v>142</v>
      </c>
      <c r="E4" s="9">
        <f>COUNTIF('Bug Log'!D4:D100,"&lt;&gt;")</f>
        <v>0</v>
      </c>
    </row>
    <row r="5" spans="1:8">
      <c r="A5" s="8" t="s">
        <v>143</v>
      </c>
      <c r="B5" s="9">
        <f>COUNTIF('Test Cases'!G5:G200,"Pass")</f>
        <v>20</v>
      </c>
      <c r="D5" s="8" t="s">
        <v>117</v>
      </c>
      <c r="E5" s="9">
        <f>COUNTIF('Bug Log'!G4:G100,"Open")</f>
        <v>20</v>
      </c>
    </row>
    <row r="6" spans="1:8">
      <c r="A6" s="8" t="s">
        <v>144</v>
      </c>
      <c r="B6" s="9">
        <f>COUNTIF('Test Cases'!G5:G200,"Fail")</f>
        <v>0</v>
      </c>
      <c r="D6" s="8" t="s">
        <v>145</v>
      </c>
      <c r="E6" s="9">
        <f>COUNTIF('Bug Log'!G4:G100,"In Progress")</f>
        <v>0</v>
      </c>
    </row>
    <row r="7" spans="1:8">
      <c r="A7" s="8" t="s">
        <v>146</v>
      </c>
      <c r="B7" s="9">
        <f>COUNTIF('Test Cases'!G5:G200,"Blocked")</f>
        <v>0</v>
      </c>
      <c r="D7" s="8" t="s">
        <v>147</v>
      </c>
      <c r="E7" s="9">
        <f>COUNTIF('Bug Log'!G4:G100,"Fixed")+COUNTIF('Bug Log'!G4:G100,"Retest Needed")</f>
        <v>0</v>
      </c>
    </row>
    <row r="8" spans="1:8">
      <c r="A8" s="10" t="s">
        <v>148</v>
      </c>
      <c r="B8" s="11">
        <f>COUNTIF('Test Cases'!G5:G200,"Not Started")+COUNTIF('Test Cases'!G5:G200,"In Progress")</f>
        <v>0</v>
      </c>
      <c r="D8" s="10" t="s">
        <v>149</v>
      </c>
      <c r="E8" s="11">
        <f>COUNTIF('Bug Log'!G4:G100,"Closed")</f>
        <v>0</v>
      </c>
    </row>
    <row r="10" spans="1:8" ht="15">
      <c r="A10" s="19" t="s">
        <v>150</v>
      </c>
      <c r="B10" s="16"/>
      <c r="C10" s="16"/>
      <c r="D10" s="16"/>
      <c r="E10" s="16"/>
    </row>
    <row r="11" spans="1:8" ht="28.5">
      <c r="A11" s="2" t="s">
        <v>151</v>
      </c>
      <c r="B11" s="2" t="s">
        <v>152</v>
      </c>
      <c r="C11" s="2" t="s">
        <v>153</v>
      </c>
      <c r="D11" s="2"/>
      <c r="E11" s="2"/>
    </row>
    <row r="12" spans="1:8" ht="28.5">
      <c r="A12" s="2" t="s">
        <v>154</v>
      </c>
      <c r="B12" s="2" t="s">
        <v>155</v>
      </c>
      <c r="C12" s="2" t="s">
        <v>156</v>
      </c>
      <c r="D12" s="2"/>
      <c r="E12" s="2"/>
    </row>
    <row r="13" spans="1:8">
      <c r="A13" s="2" t="s">
        <v>157</v>
      </c>
      <c r="B13" s="2" t="s">
        <v>158</v>
      </c>
      <c r="C13" s="2" t="s">
        <v>159</v>
      </c>
      <c r="D13" s="2"/>
      <c r="E13" s="2"/>
    </row>
    <row r="14" spans="1:8" ht="28.5">
      <c r="A14" s="2" t="s">
        <v>160</v>
      </c>
      <c r="B14" s="2" t="s">
        <v>161</v>
      </c>
      <c r="C14" s="2" t="s">
        <v>162</v>
      </c>
      <c r="D14" s="2"/>
      <c r="E14" s="2"/>
    </row>
    <row r="15" spans="1:8">
      <c r="A15" s="2" t="s">
        <v>163</v>
      </c>
      <c r="B15" s="2" t="s">
        <v>164</v>
      </c>
      <c r="C15" s="2" t="s">
        <v>165</v>
      </c>
      <c r="D15" s="2"/>
      <c r="E15" s="2"/>
    </row>
    <row r="16" spans="1:8" ht="28.5">
      <c r="A16" s="2" t="s">
        <v>166</v>
      </c>
      <c r="B16" s="2" t="s">
        <v>167</v>
      </c>
      <c r="C16" s="2" t="s">
        <v>168</v>
      </c>
      <c r="D16" s="2"/>
      <c r="E16" s="2"/>
    </row>
  </sheetData>
  <mergeCells count="2">
    <mergeCell ref="A1:H1"/>
    <mergeCell ref="A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Leidgertwood</dc:creator>
  <cp:lastModifiedBy>Bryce Leidgertwood</cp:lastModifiedBy>
  <dcterms:created xsi:type="dcterms:W3CDTF">2026-07-28T23:49:05Z</dcterms:created>
  <dcterms:modified xsi:type="dcterms:W3CDTF">2026-07-28T23:49:05Z</dcterms:modified>
</cp:coreProperties>
</file>