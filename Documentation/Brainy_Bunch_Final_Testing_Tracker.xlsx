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d32fd414a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b8054721829743cb"/>
    <x:sheet xmlns:r="http://schemas.openxmlformats.org/officeDocument/2006/relationships" name="Bug Log" sheetId="2" r:id="R7a136ff8c3e448c0"/>
    <x:sheet xmlns:r="http://schemas.openxmlformats.org/officeDocument/2006/relationships" name="Summary" sheetId="3" r:id="R6c42fdd1d77b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30A3"/>
      <x:name val="Carlito"/>
    </x:font>
    <x:font>
      <x:b/>
      <x:sz val="11"/>
      <x:color rgb="FFFFFFFF"/>
      <x:name val="Carlito"/>
    </x:font>
    <x:font>
      <x:b/>
      <x:sz val="11"/>
      <x:color rgb="FF312E8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312E81"/>
      </x:patternFill>
    </x:fill>
    <x:fill>
      <x:patternFill patternType="solid">
        <x:fgColor rgb="FFB91C1C"/>
      </x:patternFill>
    </x:fill>
    <x:fill>
      <x:patternFill patternType="solid">
        <x:fgColor rgb="FF7F1D1D"/>
      </x:patternFill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E0E7FF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62e9581fe4890" /><Relationship Type="http://schemas.openxmlformats.org/officeDocument/2006/relationships/theme" Target="/xl/theme/theme1.xml" Id="R9a176470b8d14f64" /><Relationship Type="http://schemas.openxmlformats.org/officeDocument/2006/relationships/sharedStrings" Target="/xl/sharedStrings.xml" Id="R1615c3dadf49435a" /><Relationship Type="http://schemas.openxmlformats.org/officeDocument/2006/relationships/worksheet" Target="/xl/worksheets/sheet1.xml" Id="Rb8054721829743cb" /><Relationship Type="http://schemas.openxmlformats.org/officeDocument/2006/relationships/worksheet" Target="/xl/worksheets/sheet2.xml" Id="R7a136ff8c3e448c0" /><Relationship Type="http://schemas.openxmlformats.org/officeDocument/2006/relationships/worksheet" Target="/xl/worksheets/sheet3.xml" Id="R6c42fdd1d77b41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5d813ce8db45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Status Overview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'Summary'!$B$4:$B$8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5d813ce8db45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alTestCases" displayName="ManualTestCases" ref="A4:K24" headerRowCount="1">
  <x:tableColumns count="11">
    <x:tableColumn id="1" name="Test ID"/>
    <x:tableColumn id="2" name="Feature / Screen"/>
    <x:tableColumn id="3" name="Test Task"/>
    <x:tableColumn id="4" name="Steps"/>
    <x:tableColumn id="5" name="Expected Result"/>
    <x:tableColumn id="6" name="Actual Result"/>
    <x:tableColumn id="7" name="Status"/>
    <x:tableColumn id="8" name="Priority"/>
    <x:tableColumn id="9" name="Tester"/>
    <x:tableColumn id="10" name="Date Tested"/>
    <x:tableColumn id="11" name="Notes / Bug ID"/>
  </x:tableColumns>
  <x:tableStyleInfo name="TableStyleMedium2" showRowStripes="1"/>
</x:table>
</file>

<file path=xl/tables/table2.xml><?xml version="1.0" encoding="utf-8"?>
<x:table xmlns:x="http://schemas.openxmlformats.org/spreadsheetml/2006/main" id="2" name="BugLogTable" displayName="BugLogTable" ref="A3:J23" headerRowCount="1">
  <x:tableColumns count="10">
    <x:tableColumn id="1" name="Bug ID"/>
    <x:tableColumn id="2" name="Related Test ID"/>
    <x:tableColumn id="3" name="Feature"/>
    <x:tableColumn id="4" name="Bug Description"/>
    <x:tableColumn id="5" name="Steps to Reproduce"/>
    <x:tableColumn id="6" name="Severity"/>
    <x:tableColumn id="7" name="Status"/>
    <x:tableColumn id="8" name="Assigned To"/>
    <x:tableColumn id="9" name="Date Found"/>
    <x:tableColumn id="10" name="Retest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b4dc375f1d49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1d47aaff304c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c489f6a9d44464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5" hidden="0" customWidth="1"/>
    <x:col min="4" max="4" width="38" hidden="0" customWidth="1"/>
    <x:col min="5" max="5" width="42" hidden="0" customWidth="1"/>
    <x:col min="6" max="6" width="38" hidden="0" customWidth="1"/>
    <x:col min="7" max="7" width="14" hidden="0" customWidth="1"/>
    <x:col min="8" max="8" width="11" hidden="0" customWidth="1"/>
    <x:col min="9" max="9" width="15" hidden="0" customWidth="1"/>
    <x:col min="10" max="10" width="13" hidden="0" customWidth="1"/>
    <x:col min="11" max="11" width="22" hidden="0" customWidth="1"/>
  </x:cols>
  <x:sheetData>
    <x:row r="1" ht="28" customHeight="1">
      <x:c r="A1" s="5" t="str">
        <x:v>Brainy-Bunch Manual Testing Checklist</x:v>
      </x:c>
      <x:c r="B1" s="5" t="str">
        <x:v>Brainy-Bunch Manual Testing Checklist</x:v>
      </x:c>
      <x:c r="C1" s="5" t="str">
        <x:v>Brainy-Bunch Manual Testing Checklist</x:v>
      </x:c>
      <x:c r="D1" s="5" t="str">
        <x:v>Brainy-Bunch Manual Testing Checklist</x:v>
      </x:c>
      <x:c r="E1" s="5" t="str">
        <x:v>Brainy-Bunch Manual Testing Checklist</x:v>
      </x:c>
      <x:c r="F1" s="5" t="str">
        <x:v>Brainy-Bunch Manual Testing Checklist</x:v>
      </x:c>
      <x:c r="G1" s="5" t="str">
        <x:v>Brainy-Bunch Manual Testing Checklist</x:v>
      </x:c>
      <x:c r="H1" s="5" t="str">
        <x:v>Brainy-Bunch Manual Testing Checklist</x:v>
      </x:c>
      <x:c r="I1" s="5" t="str">
        <x:v>Brainy-Bunch Manual Testing Checklist</x:v>
      </x:c>
      <x:c r="J1" s="5" t="str">
        <x:v>Brainy-Bunch Manual Testing Checklist</x:v>
      </x:c>
      <x:c r="K1" s="5" t="str">
        <x:v>Brainy-Bunch Manual Testing Checklist</x:v>
      </x:c>
    </x:row>
    <x:row r="2">
      <x:c r="A2" s="12" t="str">
        <x:v>Use this sheet after all branches are merged. Complete each test, record the actual result, and select Pass, Fail, or Blocked.</x:v>
      </x:c>
    </x:row>
    <x:row r="4">
      <x:c r="A4" s="20" t="str">
        <x:v>Test ID</x:v>
      </x:c>
      <x:c r="B4" s="20" t="str">
        <x:v>Feature / Screen</x:v>
      </x:c>
      <x:c r="C4" s="20" t="str">
        <x:v>Test Task</x:v>
      </x:c>
      <x:c r="D4" s="20" t="str">
        <x:v>Steps</x:v>
      </x:c>
      <x:c r="E4" s="20" t="str">
        <x:v>Expected Result</x:v>
      </x:c>
      <x:c r="F4" s="20" t="str">
        <x:v>Actual Result</x:v>
      </x:c>
      <x:c r="G4" s="20" t="str">
        <x:v>Status</x:v>
      </x:c>
      <x:c r="H4" s="20" t="str">
        <x:v>Priority</x:v>
      </x:c>
      <x:c r="I4" s="20" t="str">
        <x:v>Tester</x:v>
      </x:c>
      <x:c r="J4" s="20" t="str">
        <x:v>Date Tested</x:v>
      </x:c>
      <x:c r="K4" s="20" t="str">
        <x:v>Notes / Bug ID</x:v>
      </x:c>
    </x:row>
    <x:row r="5">
      <x:c r="A5" s="27" t="str">
        <x:v>TC-001</x:v>
      </x:c>
      <x:c r="B5" s="27" t="str">
        <x:v>Home Page</x:v>
      </x:c>
      <x:c r="C5" s="27" t="str">
        <x:v>Open the Home page</x:v>
      </x:c>
      <x:c r="D5" s="27" t="str">
        <x:v>Start the app and open the root URL.</x:v>
      </x:c>
      <x:c r="E5" s="27" t="str">
        <x:v>Home page loads with navigation, welcome message, Browse Community Items button, and Share an Item button.</x:v>
      </x:c>
      <x:c r="F5" s="27" t="str"/>
      <x:c r="G5" s="27" t="str">
        <x:v>Not Started</x:v>
      </x:c>
      <x:c r="H5" s="27" t="str">
        <x:v>High</x:v>
      </x:c>
      <x:c r="I5" s="27" t="str"/>
      <x:c r="J5" s="30" t="str"/>
      <x:c r="K5" s="27" t="str"/>
    </x:row>
    <x:row r="6">
      <x:c r="A6" s="27" t="str">
        <x:v>TC-002</x:v>
      </x:c>
      <x:c r="B6" s="27" t="str">
        <x:v>Navigation</x:v>
      </x:c>
      <x:c r="C6" s="27" t="str">
        <x:v>Use all navigation links</x:v>
      </x:c>
      <x:c r="D6" s="27" t="str">
        <x:v>From the Home page, click Home, Browse, Share, Notifications, and Profile one at a time.</x:v>
      </x:c>
      <x:c r="E6" s="27" t="str">
        <x:v>Each link opens the correct page without an error.</x:v>
      </x:c>
      <x:c r="F6" s="27" t="str"/>
      <x:c r="G6" s="27" t="str">
        <x:v>Not Started</x:v>
      </x:c>
      <x:c r="H6" s="27" t="str">
        <x:v>High</x:v>
      </x:c>
      <x:c r="I6" s="27" t="str"/>
      <x:c r="J6" s="30" t="str"/>
      <x:c r="K6" s="27" t="str"/>
    </x:row>
    <x:row r="7">
      <x:c r="A7" s="27" t="str">
        <x:v>TC-003</x:v>
      </x:c>
      <x:c r="B7" s="27" t="str">
        <x:v>Browse Items</x:v>
      </x:c>
      <x:c r="C7" s="27" t="str">
        <x:v>View available listings</x:v>
      </x:c>
      <x:c r="D7" s="27" t="str">
        <x:v>Open Browse Community Items and review the displayed cards.</x:v>
      </x:c>
      <x:c r="E7" s="27" t="str">
        <x:v>Available listings display with an image, category, title, and View Details button.</x:v>
      </x:c>
      <x:c r="F7" s="27" t="str"/>
      <x:c r="G7" s="27" t="str">
        <x:v>Not Started</x:v>
      </x:c>
      <x:c r="H7" s="27" t="str">
        <x:v>High</x:v>
      </x:c>
      <x:c r="I7" s="27" t="str"/>
      <x:c r="J7" s="30" t="str"/>
      <x:c r="K7" s="27" t="str"/>
    </x:row>
    <x:row r="8">
      <x:c r="A8" s="27" t="str">
        <x:v>TC-004</x:v>
      </x:c>
      <x:c r="B8" s="27" t="str">
        <x:v>Browse Items</x:v>
      </x:c>
      <x:c r="C8" s="27" t="str">
        <x:v>Search for an item</x:v>
      </x:c>
      <x:c r="D8" s="27" t="str">
        <x:v>Enter an existing item name in the search bar.</x:v>
      </x:c>
      <x:c r="E8" s="27" t="str">
        <x:v>Only relevant matching listings are displayed.</x:v>
      </x:c>
      <x:c r="F8" s="27" t="str"/>
      <x:c r="G8" s="27" t="str">
        <x:v>Not Started</x:v>
      </x:c>
      <x:c r="H8" s="27" t="str">
        <x:v>Medium</x:v>
      </x:c>
      <x:c r="I8" s="27" t="str"/>
      <x:c r="J8" s="30" t="str"/>
      <x:c r="K8" s="27" t="str"/>
    </x:row>
    <x:row r="9">
      <x:c r="A9" s="27" t="str">
        <x:v>TC-005</x:v>
      </x:c>
      <x:c r="B9" s="27" t="str">
        <x:v>Browse Items</x:v>
      </x:c>
      <x:c r="C9" s="27" t="str">
        <x:v>Filter listings by category</x:v>
      </x:c>
      <x:c r="D9" s="27" t="str">
        <x:v>Select a category from the category filter.</x:v>
      </x:c>
      <x:c r="E9" s="27" t="str">
        <x:v>Only listings in the selected category are displayed.</x:v>
      </x:c>
      <x:c r="F9" s="27" t="str"/>
      <x:c r="G9" s="27" t="str">
        <x:v>Not Started</x:v>
      </x:c>
      <x:c r="H9" s="27" t="str">
        <x:v>Medium</x:v>
      </x:c>
      <x:c r="I9" s="27" t="str"/>
      <x:c r="J9" s="30" t="str"/>
      <x:c r="K9" s="27" t="str"/>
    </x:row>
    <x:row r="10">
      <x:c r="A10" s="27" t="str">
        <x:v>TC-006</x:v>
      </x:c>
      <x:c r="B10" s="27" t="str">
        <x:v>Listing Details</x:v>
      </x:c>
      <x:c r="C10" s="27" t="str">
        <x:v>Open an item details page</x:v>
      </x:c>
      <x:c r="D10" s="27" t="str">
        <x:v>On Browse, click View Details for a listing.</x:v>
      </x:c>
      <x:c r="E10" s="27" t="str">
        <x:v>The selected item's image, title, category, description, condition, poster, location, and Request button display.</x:v>
      </x:c>
      <x:c r="F10" s="27" t="str"/>
      <x:c r="G10" s="27" t="str">
        <x:v>Not Started</x:v>
      </x:c>
      <x:c r="H10" s="27" t="str">
        <x:v>High</x:v>
      </x:c>
      <x:c r="I10" s="27" t="str"/>
      <x:c r="J10" s="30" t="str"/>
      <x:c r="K10" s="27" t="str"/>
    </x:row>
    <x:row r="11">
      <x:c r="A11" s="27" t="str">
        <x:v>TC-007</x:v>
      </x:c>
      <x:c r="B11" s="27" t="str">
        <x:v>Share an Item</x:v>
      </x:c>
      <x:c r="C11" s="27" t="str">
        <x:v>Open the Share an Item page</x:v>
      </x:c>
      <x:c r="D11" s="27" t="str">
        <x:v>Click Share in the navigation menu.</x:v>
      </x:c>
      <x:c r="E11" s="27" t="str">
        <x:v>The page loads with Item Name, Category, Condition, Description, Upload Photo, and Share Item controls.</x:v>
      </x:c>
      <x:c r="F11" s="27" t="str"/>
      <x:c r="G11" s="27" t="str">
        <x:v>Not Started</x:v>
      </x:c>
      <x:c r="H11" s="27" t="str">
        <x:v>High</x:v>
      </x:c>
      <x:c r="I11" s="27" t="str"/>
      <x:c r="J11" s="30" t="str"/>
      <x:c r="K11" s="27" t="str"/>
    </x:row>
    <x:row r="12">
      <x:c r="A12" s="27" t="str">
        <x:v>TC-008</x:v>
      </x:c>
      <x:c r="B12" s="27" t="str">
        <x:v>Share an Item</x:v>
      </x:c>
      <x:c r="C12" s="27" t="str">
        <x:v>Submit a valid item listing</x:v>
      </x:c>
      <x:c r="D12" s="27" t="str">
        <x:v>Complete all required fields, upload a valid image, and click Share Item.</x:v>
      </x:c>
      <x:c r="E12" s="27" t="str">
        <x:v>The listing is created and appears on the Browse page.</x:v>
      </x:c>
      <x:c r="F12" s="27" t="str"/>
      <x:c r="G12" s="27" t="str">
        <x:v>Not Started</x:v>
      </x:c>
      <x:c r="H12" s="27" t="str">
        <x:v>High</x:v>
      </x:c>
      <x:c r="I12" s="27" t="str"/>
      <x:c r="J12" s="30" t="str"/>
      <x:c r="K12" s="27" t="str"/>
    </x:row>
    <x:row r="13">
      <x:c r="A13" s="27" t="str">
        <x:v>TC-009</x:v>
      </x:c>
      <x:c r="B13" s="27" t="str">
        <x:v>Share an Item</x:v>
      </x:c>
      <x:c r="C13" s="27" t="str">
        <x:v>Leave Item Name blank</x:v>
      </x:c>
      <x:c r="D13" s="27" t="str">
        <x:v>Complete the remaining fields, leave Item Name blank, and click Share Item.</x:v>
      </x:c>
      <x:c r="E13" s="27" t="str">
        <x:v>Submission is rejected and a required-field message is displayed.</x:v>
      </x:c>
      <x:c r="F13" s="27" t="str"/>
      <x:c r="G13" s="27" t="str">
        <x:v>Not Started</x:v>
      </x:c>
      <x:c r="H13" s="27" t="str">
        <x:v>High</x:v>
      </x:c>
      <x:c r="I13" s="27" t="str"/>
      <x:c r="J13" s="30" t="str"/>
      <x:c r="K13" s="27" t="str"/>
    </x:row>
    <x:row r="14">
      <x:c r="A14" s="27" t="str">
        <x:v>TC-010</x:v>
      </x:c>
      <x:c r="B14" s="27" t="str">
        <x:v>Share an Item</x:v>
      </x:c>
      <x:c r="C14" s="27" t="str">
        <x:v>Upload an invalid file type</x:v>
      </x:c>
      <x:c r="D14" s="27" t="str">
        <x:v>Attempt to upload a non-image file.</x:v>
      </x:c>
      <x:c r="E14" s="27" t="str">
        <x:v>The file is rejected and a clear validation message is shown.</x:v>
      </x:c>
      <x:c r="F14" s="27" t="str"/>
      <x:c r="G14" s="27" t="str">
        <x:v>Not Started</x:v>
      </x:c>
      <x:c r="H14" s="27" t="str">
        <x:v>Medium</x:v>
      </x:c>
      <x:c r="I14" s="27" t="str"/>
      <x:c r="J14" s="30" t="str"/>
      <x:c r="K14" s="27" t="str"/>
    </x:row>
    <x:row r="15">
      <x:c r="A15" s="27" t="str">
        <x:v>TC-011</x:v>
      </x:c>
      <x:c r="B15" s="27" t="str">
        <x:v>Profile</x:v>
      </x:c>
      <x:c r="C15" s="27" t="str">
        <x:v>Open the Profile page</x:v>
      </x:c>
      <x:c r="D15" s="27" t="str">
        <x:v>Click Profile in the navigation menu.</x:v>
      </x:c>
      <x:c r="E15" s="27" t="str">
        <x:v>Profile information, statistics, shared items, requests, and Edit Profile button display.</x:v>
      </x:c>
      <x:c r="F15" s="27" t="str"/>
      <x:c r="G15" s="27" t="str">
        <x:v>Not Started</x:v>
      </x:c>
      <x:c r="H15" s="27" t="str">
        <x:v>Medium</x:v>
      </x:c>
      <x:c r="I15" s="27" t="str"/>
      <x:c r="J15" s="30" t="str"/>
      <x:c r="K15" s="27" t="str"/>
    </x:row>
    <x:row r="16">
      <x:c r="A16" s="27" t="str">
        <x:v>TC-012</x:v>
      </x:c>
      <x:c r="B16" s="27" t="str">
        <x:v>Notifications</x:v>
      </x:c>
      <x:c r="C16" s="27" t="str">
        <x:v>Open the Notifications page</x:v>
      </x:c>
      <x:c r="D16" s="27" t="str">
        <x:v>Click Notifications in the navigation menu.</x:v>
      </x:c>
      <x:c r="E16" s="27" t="str">
        <x:v>Recent request and listing notifications display correctly.</x:v>
      </x:c>
      <x:c r="F16" s="27" t="str"/>
      <x:c r="G16" s="27" t="str">
        <x:v>Not Started</x:v>
      </x:c>
      <x:c r="H16" s="27" t="str">
        <x:v>Medium</x:v>
      </x:c>
      <x:c r="I16" s="27" t="str"/>
      <x:c r="J16" s="30" t="str"/>
      <x:c r="K16" s="27" t="str"/>
    </x:row>
    <x:row r="17">
      <x:c r="A17" s="27" t="str">
        <x:v>TC-013</x:v>
      </x:c>
      <x:c r="B17" s="27" t="str">
        <x:v>Request Item</x:v>
      </x:c>
      <x:c r="C17" s="27" t="str">
        <x:v>Request an available item</x:v>
      </x:c>
      <x:c r="D17" s="27" t="str">
        <x:v>Open a listing and click Request This Item.</x:v>
      </x:c>
      <x:c r="E17" s="27" t="str">
        <x:v>The request is saved and a confirmation or updated status is shown.</x:v>
      </x:c>
      <x:c r="F17" s="27" t="str"/>
      <x:c r="G17" s="27" t="str">
        <x:v>Not Started</x:v>
      </x:c>
      <x:c r="H17" s="27" t="str">
        <x:v>High</x:v>
      </x:c>
      <x:c r="I17" s="27" t="str"/>
      <x:c r="J17" s="30" t="str"/>
      <x:c r="K17" s="27" t="str"/>
    </x:row>
    <x:row r="18">
      <x:c r="A18" s="27" t="str">
        <x:v>TC-014</x:v>
      </x:c>
      <x:c r="B18" s="27" t="str">
        <x:v>Admin Dashboard</x:v>
      </x:c>
      <x:c r="C18" s="27" t="str">
        <x:v>Open the Admin Dashboard</x:v>
      </x:c>
      <x:c r="D18" s="27" t="str">
        <x:v>Sign in as an administrator and open the dashboard.</x:v>
      </x:c>
      <x:c r="E18" s="27" t="str">
        <x:v>Dashboard loads and shows totals for users, listings, reports, and pending verification requests.</x:v>
      </x:c>
      <x:c r="F18" s="27" t="str"/>
      <x:c r="G18" s="27" t="str">
        <x:v>Not Started</x:v>
      </x:c>
      <x:c r="H18" s="27" t="str">
        <x:v>High</x:v>
      </x:c>
      <x:c r="I18" s="27" t="str"/>
      <x:c r="J18" s="30" t="str"/>
      <x:c r="K18" s="27" t="str"/>
    </x:row>
    <x:row r="19">
      <x:c r="A19" s="27" t="str">
        <x:v>TC-015</x:v>
      </x:c>
      <x:c r="B19" s="27" t="str">
        <x:v>Admin Dashboard</x:v>
      </x:c>
      <x:c r="C19" s="27" t="str">
        <x:v>Approve a pending user</x:v>
      </x:c>
      <x:c r="D19" s="27" t="str">
        <x:v>Open pending verification requests and approve one user.</x:v>
      </x:c>
      <x:c r="E19" s="27" t="str">
        <x:v>The user's status changes to approved and the action is recorded.</x:v>
      </x:c>
      <x:c r="F19" s="27" t="str"/>
      <x:c r="G19" s="27" t="str">
        <x:v>Not Started</x:v>
      </x:c>
      <x:c r="H19" s="27" t="str">
        <x:v>High</x:v>
      </x:c>
      <x:c r="I19" s="27" t="str"/>
      <x:c r="J19" s="30" t="str"/>
      <x:c r="K19" s="27" t="str"/>
    </x:row>
    <x:row r="20">
      <x:c r="A20" s="27" t="str">
        <x:v>TC-016</x:v>
      </x:c>
      <x:c r="B20" s="27" t="str">
        <x:v>Admin Dashboard</x:v>
      </x:c>
      <x:c r="C20" s="27" t="str">
        <x:v>Deny a pending user</x:v>
      </x:c>
      <x:c r="D20" s="27" t="str">
        <x:v>Open pending verification requests and deny one user.</x:v>
      </x:c>
      <x:c r="E20" s="27" t="str">
        <x:v>The user's status changes to denied and the action is recorded.</x:v>
      </x:c>
      <x:c r="F20" s="27" t="str"/>
      <x:c r="G20" s="27" t="str">
        <x:v>Not Started</x:v>
      </x:c>
      <x:c r="H20" s="27" t="str">
        <x:v>Medium</x:v>
      </x:c>
      <x:c r="I20" s="27" t="str"/>
      <x:c r="J20" s="30" t="str"/>
      <x:c r="K20" s="27" t="str"/>
    </x:row>
    <x:row r="21">
      <x:c r="A21" s="27" t="str">
        <x:v>TC-017</x:v>
      </x:c>
      <x:c r="B21" s="27" t="str">
        <x:v>Admin Dashboard</x:v>
      </x:c>
      <x:c r="C21" s="27" t="str">
        <x:v>Block a user</x:v>
      </x:c>
      <x:c r="D21" s="27" t="str">
        <x:v>Select an active user and choose Block User.</x:v>
      </x:c>
      <x:c r="E21" s="27" t="str">
        <x:v>The user is blocked and can no longer access restricted features.</x:v>
      </x:c>
      <x:c r="F21" s="27" t="str"/>
      <x:c r="G21" s="27" t="str">
        <x:v>Not Started</x:v>
      </x:c>
      <x:c r="H21" s="27" t="str">
        <x:v>High</x:v>
      </x:c>
      <x:c r="I21" s="27" t="str"/>
      <x:c r="J21" s="30" t="str"/>
      <x:c r="K21" s="27" t="str"/>
    </x:row>
    <x:row r="22">
      <x:c r="A22" s="27" t="str">
        <x:v>TC-018</x:v>
      </x:c>
      <x:c r="B22" s="27" t="str">
        <x:v>Admin Dashboard</x:v>
      </x:c>
      <x:c r="C22" s="27" t="str">
        <x:v>Remove a listing</x:v>
      </x:c>
      <x:c r="D22" s="27" t="str">
        <x:v>Select a reported or inappropriate listing and choose Remove Listing.</x:v>
      </x:c>
      <x:c r="E22" s="27" t="str">
        <x:v>The listing is removed from public view and the action is recorded.</x:v>
      </x:c>
      <x:c r="F22" s="27" t="str"/>
      <x:c r="G22" s="27" t="str">
        <x:v>Not Started</x:v>
      </x:c>
      <x:c r="H22" s="27" t="str">
        <x:v>High</x:v>
      </x:c>
      <x:c r="I22" s="27" t="str"/>
      <x:c r="J22" s="30" t="str"/>
      <x:c r="K22" s="27" t="str"/>
    </x:row>
    <x:row r="23">
      <x:c r="A23" s="27" t="str">
        <x:v>TC-019</x:v>
      </x:c>
      <x:c r="B23" s="27" t="str">
        <x:v>Responsive Layout</x:v>
      </x:c>
      <x:c r="C23" s="27" t="str">
        <x:v>Check mobile-sized layout</x:v>
      </x:c>
      <x:c r="D23" s="27" t="str">
        <x:v>Resize the browser to a narrow mobile width and review primary pages.</x:v>
      </x:c>
      <x:c r="E23" s="27" t="str">
        <x:v>Navigation, forms, cards, and buttons remain readable and usable.</x:v>
      </x:c>
      <x:c r="F23" s="27" t="str"/>
      <x:c r="G23" s="27" t="str">
        <x:v>Not Started</x:v>
      </x:c>
      <x:c r="H23" s="27" t="str">
        <x:v>Medium</x:v>
      </x:c>
      <x:c r="I23" s="27" t="str"/>
      <x:c r="J23" s="30" t="str"/>
      <x:c r="K23" s="27" t="str"/>
    </x:row>
    <x:row r="24">
      <x:c r="A24" s="27" t="str">
        <x:v>TC-020</x:v>
      </x:c>
      <x:c r="B24" s="27" t="str">
        <x:v>Integration</x:v>
      </x:c>
      <x:c r="C24" s="27" t="str">
        <x:v>Run all automated tests</x:v>
      </x:c>
      <x:c r="D24" s="27" t="str">
        <x:v>From the folder containing manage.py, run python manage.py test.</x:v>
      </x:c>
      <x:c r="E24" s="27" t="str">
        <x:v>All automated tests complete successfully with an OK result.</x:v>
      </x:c>
      <x:c r="F24" s="27" t="str"/>
      <x:c r="G24" s="27" t="str">
        <x:v>Not Started</x:v>
      </x:c>
      <x:c r="H24" s="27" t="str">
        <x:v>High</x:v>
      </x:c>
      <x:c r="I24" s="27" t="str"/>
      <x:c r="J24" s="30" t="str"/>
      <x:c r="K24" s="27" t="str"/>
    </x:row>
    <x:row r="25">
      <x:c r="J25" s="31"/>
    </x:row>
    <x:row r="26">
      <x:c r="J26" s="31"/>
    </x:row>
    <x:row r="27">
      <x:c r="J27" s="31"/>
    </x:row>
    <x:row r="28">
      <x:c r="J28" s="31"/>
    </x:row>
    <x:row r="29">
      <x:c r="J29" s="31"/>
    </x:row>
    <x:row r="30">
      <x:c r="J30" s="31"/>
    </x:row>
    <x:row r="31">
      <x:c r="J31" s="31"/>
    </x:row>
    <x:row r="32">
      <x:c r="J32" s="31"/>
    </x:row>
    <x:row r="33">
      <x:c r="J33" s="31"/>
    </x:row>
    <x:row r="34">
      <x:c r="J34" s="31"/>
    </x:row>
    <x:row r="35">
      <x:c r="J35" s="31"/>
    </x:row>
    <x:row r="36">
      <x:c r="J36" s="31"/>
    </x:row>
    <x:row r="37">
      <x:c r="J37" s="31"/>
    </x:row>
    <x:row r="38">
      <x:c r="J38" s="31"/>
    </x:row>
    <x:row r="39">
      <x:c r="J39" s="31"/>
    </x:row>
    <x:row r="40">
      <x:c r="J40" s="31"/>
    </x:row>
    <x:row r="41">
      <x:c r="J41" s="31"/>
    </x:row>
    <x:row r="42">
      <x:c r="J42" s="31"/>
    </x:row>
    <x:row r="43">
      <x:c r="J43" s="31"/>
    </x:row>
    <x:row r="44">
      <x:c r="J44" s="31"/>
    </x:row>
    <x:row r="45">
      <x:c r="J45" s="31"/>
    </x:row>
    <x:row r="46">
      <x:c r="J46" s="31"/>
    </x:row>
    <x:row r="47">
      <x:c r="J47" s="31"/>
    </x:row>
    <x:row r="48">
      <x:c r="J48" s="31"/>
    </x:row>
    <x:row r="49">
      <x:c r="J49" s="31"/>
    </x:row>
    <x:row r="50">
      <x:c r="J50" s="31"/>
    </x:row>
    <x:row r="51">
      <x:c r="J51" s="31"/>
    </x:row>
    <x:row r="52">
      <x:c r="J52" s="31"/>
    </x:row>
    <x:row r="53">
      <x:c r="J53" s="31"/>
    </x:row>
    <x:row r="54">
      <x:c r="J54" s="31"/>
    </x:row>
    <x:row r="55">
      <x:c r="J55" s="31"/>
    </x:row>
    <x:row r="56">
      <x:c r="J56" s="31"/>
    </x:row>
    <x:row r="57">
      <x:c r="J57" s="31"/>
    </x:row>
    <x:row r="58">
      <x:c r="J58" s="31"/>
    </x:row>
    <x:row r="59">
      <x:c r="J59" s="31"/>
    </x:row>
    <x:row r="60">
      <x:c r="J60" s="31"/>
    </x:row>
    <x:row r="61">
      <x:c r="J61" s="31"/>
    </x:row>
    <x:row r="62">
      <x:c r="J62" s="31"/>
    </x:row>
    <x:row r="63">
      <x:c r="J63" s="31"/>
    </x:row>
    <x:row r="64">
      <x:c r="J64" s="31"/>
    </x:row>
    <x:row r="65">
      <x:c r="J65" s="31"/>
    </x:row>
    <x:row r="66">
      <x:c r="J66" s="31"/>
    </x:row>
    <x:row r="67">
      <x:c r="J67" s="31"/>
    </x:row>
    <x:row r="68">
      <x:c r="J68" s="31"/>
    </x:row>
    <x:row r="69">
      <x:c r="J69" s="31"/>
    </x:row>
    <x:row r="70">
      <x:c r="J70" s="31"/>
    </x:row>
    <x:row r="71">
      <x:c r="J71" s="31"/>
    </x:row>
    <x:row r="72">
      <x:c r="J72" s="31"/>
    </x:row>
    <x:row r="73">
      <x:c r="J73" s="31"/>
    </x:row>
    <x:row r="74">
      <x:c r="J74" s="31"/>
    </x:row>
    <x:row r="75">
      <x:c r="J75" s="31"/>
    </x:row>
    <x:row r="76">
      <x:c r="J76" s="31"/>
    </x:row>
    <x:row r="77">
      <x:c r="J77" s="31"/>
    </x:row>
    <x:row r="78">
      <x:c r="J78" s="31"/>
    </x:row>
    <x:row r="79">
      <x:c r="J79" s="31"/>
    </x:row>
    <x:row r="80">
      <x:c r="J80" s="31"/>
    </x:row>
    <x:row r="81">
      <x:c r="J81" s="31"/>
    </x:row>
    <x:row r="82">
      <x:c r="J82" s="31"/>
    </x:row>
    <x:row r="83">
      <x:c r="J83" s="31"/>
    </x:row>
    <x:row r="84">
      <x:c r="J84" s="31"/>
    </x:row>
    <x:row r="85">
      <x:c r="J85" s="31"/>
    </x:row>
    <x:row r="86">
      <x:c r="J86" s="31"/>
    </x:row>
    <x:row r="87">
      <x:c r="J87" s="31"/>
    </x:row>
    <x:row r="88">
      <x:c r="J88" s="31"/>
    </x:row>
    <x:row r="89">
      <x:c r="J89" s="31"/>
    </x:row>
    <x:row r="90">
      <x:c r="J90" s="31"/>
    </x:row>
    <x:row r="91">
      <x:c r="J91" s="31"/>
    </x:row>
    <x:row r="92">
      <x:c r="J92" s="31"/>
    </x:row>
    <x:row r="93">
      <x:c r="J93" s="31"/>
    </x:row>
    <x:row r="94">
      <x:c r="J94" s="31"/>
    </x:row>
    <x:row r="95">
      <x:c r="J95" s="31"/>
    </x:row>
    <x:row r="96">
      <x:c r="J96" s="31"/>
    </x:row>
    <x:row r="97">
      <x:c r="J97" s="31"/>
    </x:row>
    <x:row r="98">
      <x:c r="J98" s="31"/>
    </x:row>
    <x:row r="99">
      <x:c r="J99" s="31"/>
    </x:row>
    <x:row r="100">
      <x:c r="J100" s="31"/>
    </x:row>
    <x:row r="101">
      <x:c r="J101" s="31"/>
    </x:row>
    <x:row r="102">
      <x:c r="J102" s="31"/>
    </x:row>
    <x:row r="103">
      <x:c r="J103" s="31"/>
    </x:row>
    <x:row r="104">
      <x:c r="J104" s="31"/>
    </x:row>
    <x:row r="105">
      <x:c r="J105" s="31"/>
    </x:row>
    <x:row r="106">
      <x:c r="J106" s="31"/>
    </x:row>
    <x:row r="107">
      <x:c r="J107" s="31"/>
    </x:row>
    <x:row r="108">
      <x:c r="J108" s="31"/>
    </x:row>
    <x:row r="109">
      <x:c r="J109" s="31"/>
    </x:row>
    <x:row r="110">
      <x:c r="J110" s="31"/>
    </x:row>
    <x:row r="111">
      <x:c r="J111" s="31"/>
    </x:row>
    <x:row r="112">
      <x:c r="J112" s="31"/>
    </x:row>
    <x:row r="113">
      <x:c r="J113" s="31"/>
    </x:row>
    <x:row r="114">
      <x:c r="J114" s="31"/>
    </x:row>
    <x:row r="115">
      <x:c r="J115" s="31"/>
    </x:row>
    <x:row r="116">
      <x:c r="J116" s="31"/>
    </x:row>
    <x:row r="117">
      <x:c r="J117" s="31"/>
    </x:row>
    <x:row r="118">
      <x:c r="J118" s="31"/>
    </x:row>
    <x:row r="119">
      <x:c r="J119" s="31"/>
    </x:row>
    <x:row r="120">
      <x:c r="J120" s="31"/>
    </x:row>
    <x:row r="121">
      <x:c r="J121" s="31"/>
    </x:row>
    <x:row r="122">
      <x:c r="J122" s="31"/>
    </x:row>
    <x:row r="123">
      <x:c r="J123" s="31"/>
    </x:row>
    <x:row r="124">
      <x:c r="J124" s="31"/>
    </x:row>
    <x:row r="125">
      <x:c r="J125" s="31"/>
    </x:row>
    <x:row r="126">
      <x:c r="J126" s="31"/>
    </x:row>
    <x:row r="127">
      <x:c r="J127" s="31"/>
    </x:row>
    <x:row r="128">
      <x:c r="J128" s="31"/>
    </x:row>
    <x:row r="129">
      <x:c r="J129" s="31"/>
    </x:row>
    <x:row r="130">
      <x:c r="J130" s="31"/>
    </x:row>
    <x:row r="131">
      <x:c r="J131" s="31"/>
    </x:row>
    <x:row r="132">
      <x:c r="J132" s="31"/>
    </x:row>
    <x:row r="133">
      <x:c r="J133" s="31"/>
    </x:row>
    <x:row r="134">
      <x:c r="J134" s="31"/>
    </x:row>
    <x:row r="135">
      <x:c r="J135" s="31"/>
    </x:row>
    <x:row r="136">
      <x:c r="J136" s="31"/>
    </x:row>
    <x:row r="137">
      <x:c r="J137" s="31"/>
    </x:row>
    <x:row r="138">
      <x:c r="J138" s="31"/>
    </x:row>
    <x:row r="139">
      <x:c r="J139" s="31"/>
    </x:row>
    <x:row r="140">
      <x:c r="J140" s="31"/>
    </x:row>
    <x:row r="141">
      <x:c r="J141" s="31"/>
    </x:row>
    <x:row r="142">
      <x:c r="J142" s="31"/>
    </x:row>
    <x:row r="143">
      <x:c r="J143" s="31"/>
    </x:row>
    <x:row r="144">
      <x:c r="J144" s="31"/>
    </x:row>
    <x:row r="145">
      <x:c r="J145" s="31"/>
    </x:row>
    <x:row r="146">
      <x:c r="J146" s="31"/>
    </x:row>
    <x:row r="147">
      <x:c r="J147" s="31"/>
    </x:row>
    <x:row r="148">
      <x:c r="J148" s="31"/>
    </x:row>
    <x:row r="149">
      <x:c r="J149" s="31"/>
    </x:row>
    <x:row r="150">
      <x:c r="J150" s="31"/>
    </x:row>
    <x:row r="151">
      <x:c r="J151" s="31"/>
    </x:row>
    <x:row r="152">
      <x:c r="J152" s="31"/>
    </x:row>
    <x:row r="153">
      <x:c r="J153" s="31"/>
    </x:row>
    <x:row r="154">
      <x:c r="J154" s="31"/>
    </x:row>
    <x:row r="155">
      <x:c r="J155" s="31"/>
    </x:row>
    <x:row r="156">
      <x:c r="J156" s="31"/>
    </x:row>
    <x:row r="157">
      <x:c r="J157" s="31"/>
    </x:row>
    <x:row r="158">
      <x:c r="J158" s="31"/>
    </x:row>
    <x:row r="159">
      <x:c r="J159" s="31"/>
    </x:row>
    <x:row r="160">
      <x:c r="J160" s="31"/>
    </x:row>
    <x:row r="161">
      <x:c r="J161" s="31"/>
    </x:row>
    <x:row r="162">
      <x:c r="J162" s="31"/>
    </x:row>
    <x:row r="163">
      <x:c r="J163" s="31"/>
    </x:row>
    <x:row r="164">
      <x:c r="J164" s="31"/>
    </x:row>
    <x:row r="165">
      <x:c r="J165" s="31"/>
    </x:row>
    <x:row r="166">
      <x:c r="J166" s="31"/>
    </x:row>
    <x:row r="167">
      <x:c r="J167" s="31"/>
    </x:row>
    <x:row r="168">
      <x:c r="J168" s="31"/>
    </x:row>
    <x:row r="169">
      <x:c r="J169" s="31"/>
    </x:row>
    <x:row r="170">
      <x:c r="J170" s="31"/>
    </x:row>
    <x:row r="171">
      <x:c r="J171" s="31"/>
    </x:row>
    <x:row r="172">
      <x:c r="J172" s="31"/>
    </x:row>
    <x:row r="173">
      <x:c r="J173" s="31"/>
    </x:row>
    <x:row r="174">
      <x:c r="J174" s="31"/>
    </x:row>
    <x:row r="175">
      <x:c r="J175" s="31"/>
    </x:row>
    <x:row r="176">
      <x:c r="J176" s="31"/>
    </x:row>
    <x:row r="177">
      <x:c r="J177" s="31"/>
    </x:row>
    <x:row r="178">
      <x:c r="J178" s="31"/>
    </x:row>
    <x:row r="179">
      <x:c r="J179" s="31"/>
    </x:row>
    <x:row r="180">
      <x:c r="J180" s="31"/>
    </x:row>
    <x:row r="181">
      <x:c r="J181" s="31"/>
    </x:row>
    <x:row r="182">
      <x:c r="J182" s="31"/>
    </x:row>
    <x:row r="183">
      <x:c r="J183" s="31"/>
    </x:row>
    <x:row r="184">
      <x:c r="J184" s="31"/>
    </x:row>
    <x:row r="185">
      <x:c r="J185" s="31"/>
    </x:row>
    <x:row r="186">
      <x:c r="J186" s="31"/>
    </x:row>
    <x:row r="187">
      <x:c r="J187" s="31"/>
    </x:row>
    <x:row r="188">
      <x:c r="J188" s="31"/>
    </x:row>
    <x:row r="189">
      <x:c r="J189" s="31"/>
    </x:row>
    <x:row r="190">
      <x:c r="J190" s="31"/>
    </x:row>
    <x:row r="191">
      <x:c r="J191" s="31"/>
    </x:row>
    <x:row r="192">
      <x:c r="J192" s="31"/>
    </x:row>
    <x:row r="193">
      <x:c r="J193" s="31"/>
    </x:row>
    <x:row r="194">
      <x:c r="J194" s="31"/>
    </x:row>
    <x:row r="195">
      <x:c r="J195" s="31"/>
    </x:row>
    <x:row r="196">
      <x:c r="J196" s="31"/>
    </x:row>
    <x:row r="197">
      <x:c r="J197" s="31"/>
    </x:row>
    <x:row r="198">
      <x:c r="J198" s="31"/>
    </x:row>
    <x:row r="199">
      <x:c r="J199" s="31"/>
    </x:row>
    <x:row r="200">
      <x:c r="J200" s="31"/>
    </x:row>
  </x:sheetData>
  <x:mergeCells>
    <x:mergeCell ref="A1:K1"/>
    <x:mergeCell ref="A2:K2"/>
  </x:mergeCells>
  <x:conditionalFormatting sqref="G5:G200">
    <x:cfRule type="expression" dxfId="0" priority="1">
      <x:formula>G5="Pass"</x:formula>
    </x:cfRule>
    <x:cfRule type="expression" dxfId="1" priority="2">
      <x:formula>G5="Fail"</x:formula>
    </x:cfRule>
    <x:cfRule type="expression" dxfId="2" priority="3">
      <x:formula>G5="Blocked"</x:formula>
    </x:cfRule>
    <x:cfRule type="expression" dxfId="3" priority="4">
      <x:formula>G5="In Progress"</x:formula>
    </x:cfRule>
  </x:conditionalFormatting>
  <x:dataValidations count="2">
    <x:dataValidation type="list" sqref="G5:G200">
      <x:formula1>"Not Started,In Progress,Pass,Fail,Blocked"</x:formula1>
    </x:dataValidation>
    <x:dataValidation type="list" sqref="H5:H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b4dc375f1d49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8" hidden="0" customWidth="1"/>
    <x:col min="4" max="4" width="35" hidden="0" customWidth="1"/>
    <x:col min="5" max="5" width="40" hidden="0" customWidth="1"/>
    <x:col min="6" max="6" width="12" hidden="0" customWidth="1"/>
    <x:col min="7" max="7" width="16" hidden="0" customWidth="1"/>
    <x:col min="8" max="8" width="16" hidden="0" customWidth="1"/>
    <x:col min="9" max="9" width="13" hidden="0" customWidth="1"/>
    <x:col min="10" max="10" width="15" hidden="0" customWidth="1"/>
  </x:cols>
  <x:sheetData>
    <x:row r="1">
      <x:c r="A1" s="36" t="str">
        <x:v>Brainy-Bunch Bug Log</x:v>
      </x:c>
    </x:row>
    <x:row r="3">
      <x:c r="A3" s="43" t="str">
        <x:v>Bug ID</x:v>
      </x:c>
      <x:c r="B3" s="43" t="str">
        <x:v>Related Test ID</x:v>
      </x:c>
      <x:c r="C3" s="43" t="str">
        <x:v>Feature</x:v>
      </x:c>
      <x:c r="D3" s="43" t="str">
        <x:v>Bug Description</x:v>
      </x:c>
      <x:c r="E3" s="43" t="str">
        <x:v>Steps to Reproduce</x:v>
      </x:c>
      <x:c r="F3" s="43" t="str">
        <x:v>Severity</x:v>
      </x:c>
      <x:c r="G3" s="43" t="str">
        <x:v>Status</x:v>
      </x:c>
      <x:c r="H3" s="43" t="str">
        <x:v>Assigned To</x:v>
      </x:c>
      <x:c r="I3" s="43" t="str">
        <x:v>Date Found</x:v>
      </x:c>
      <x:c r="J3" s="43" t="str">
        <x:v>Retest Result</x:v>
      </x:c>
    </x:row>
    <x:row r="4">
      <x:c r="A4" s="27" t="str">
        <x:v>BUG-001</x:v>
      </x:c>
      <x:c r="B4" s="27" t="str"/>
      <x:c r="C4" s="27" t="str"/>
      <x:c r="D4" s="27" t="str"/>
      <x:c r="E4" s="27" t="str"/>
      <x:c r="F4" s="27" t="str">
        <x:v>Medium</x:v>
      </x:c>
      <x:c r="G4" s="27" t="str">
        <x:v>Open</x:v>
      </x:c>
      <x:c r="H4" s="27" t="str"/>
      <x:c r="I4" s="30" t="str"/>
      <x:c r="J4" s="27" t="str"/>
    </x:row>
    <x:row r="5">
      <x:c r="A5" s="27" t="str">
        <x:v>BUG-002</x:v>
      </x:c>
      <x:c r="B5" s="27" t="str"/>
      <x:c r="C5" s="27" t="str"/>
      <x:c r="D5" s="27" t="str"/>
      <x:c r="E5" s="27" t="str"/>
      <x:c r="F5" s="27" t="str">
        <x:v>Medium</x:v>
      </x:c>
      <x:c r="G5" s="27" t="str">
        <x:v>Open</x:v>
      </x:c>
      <x:c r="H5" s="27" t="str"/>
      <x:c r="I5" s="30" t="str"/>
      <x:c r="J5" s="27" t="str"/>
    </x:row>
    <x:row r="6">
      <x:c r="A6" s="27" t="str">
        <x:v>BUG-003</x:v>
      </x:c>
      <x:c r="B6" s="27" t="str"/>
      <x:c r="C6" s="27" t="str"/>
      <x:c r="D6" s="27" t="str"/>
      <x:c r="E6" s="27" t="str"/>
      <x:c r="F6" s="27" t="str">
        <x:v>Medium</x:v>
      </x:c>
      <x:c r="G6" s="27" t="str">
        <x:v>Open</x:v>
      </x:c>
      <x:c r="H6" s="27" t="str"/>
      <x:c r="I6" s="30" t="str"/>
      <x:c r="J6" s="27" t="str"/>
    </x:row>
    <x:row r="7">
      <x:c r="A7" s="27" t="str">
        <x:v>BUG-004</x:v>
      </x:c>
      <x:c r="B7" s="27" t="str"/>
      <x:c r="C7" s="27" t="str"/>
      <x:c r="D7" s="27" t="str"/>
      <x:c r="E7" s="27" t="str"/>
      <x:c r="F7" s="27" t="str">
        <x:v>Medium</x:v>
      </x:c>
      <x:c r="G7" s="27" t="str">
        <x:v>Open</x:v>
      </x:c>
      <x:c r="H7" s="27" t="str"/>
      <x:c r="I7" s="30" t="str"/>
      <x:c r="J7" s="27" t="str"/>
    </x:row>
    <x:row r="8">
      <x:c r="A8" s="27" t="str">
        <x:v>BUG-005</x:v>
      </x:c>
      <x:c r="B8" s="27" t="str"/>
      <x:c r="C8" s="27" t="str"/>
      <x:c r="D8" s="27" t="str"/>
      <x:c r="E8" s="27" t="str"/>
      <x:c r="F8" s="27" t="str">
        <x:v>Medium</x:v>
      </x:c>
      <x:c r="G8" s="27" t="str">
        <x:v>Open</x:v>
      </x:c>
      <x:c r="H8" s="27" t="str"/>
      <x:c r="I8" s="30" t="str"/>
      <x:c r="J8" s="27" t="str"/>
    </x:row>
    <x:row r="9">
      <x:c r="A9" s="27" t="str">
        <x:v>BUG-006</x:v>
      </x:c>
      <x:c r="B9" s="27" t="str"/>
      <x:c r="C9" s="27" t="str"/>
      <x:c r="D9" s="27" t="str"/>
      <x:c r="E9" s="27" t="str"/>
      <x:c r="F9" s="27" t="str">
        <x:v>Medium</x:v>
      </x:c>
      <x:c r="G9" s="27" t="str">
        <x:v>Open</x:v>
      </x:c>
      <x:c r="H9" s="27" t="str"/>
      <x:c r="I9" s="30" t="str"/>
      <x:c r="J9" s="27" t="str"/>
    </x:row>
    <x:row r="10">
      <x:c r="A10" s="27" t="str">
        <x:v>BUG-007</x:v>
      </x:c>
      <x:c r="B10" s="27" t="str"/>
      <x:c r="C10" s="27" t="str"/>
      <x:c r="D10" s="27" t="str"/>
      <x:c r="E10" s="27" t="str"/>
      <x:c r="F10" s="27" t="str">
        <x:v>Medium</x:v>
      </x:c>
      <x:c r="G10" s="27" t="str">
        <x:v>Open</x:v>
      </x:c>
      <x:c r="H10" s="27" t="str"/>
      <x:c r="I10" s="30" t="str"/>
      <x:c r="J10" s="27" t="str"/>
    </x:row>
    <x:row r="11">
      <x:c r="A11" s="27" t="str">
        <x:v>BUG-008</x:v>
      </x:c>
      <x:c r="B11" s="27" t="str"/>
      <x:c r="C11" s="27" t="str"/>
      <x:c r="D11" s="27" t="str"/>
      <x:c r="E11" s="27" t="str"/>
      <x:c r="F11" s="27" t="str">
        <x:v>Medium</x:v>
      </x:c>
      <x:c r="G11" s="27" t="str">
        <x:v>Open</x:v>
      </x:c>
      <x:c r="H11" s="27" t="str"/>
      <x:c r="I11" s="30" t="str"/>
      <x:c r="J11" s="27" t="str"/>
    </x:row>
    <x:row r="12">
      <x:c r="A12" s="27" t="str">
        <x:v>BUG-009</x:v>
      </x:c>
      <x:c r="B12" s="27" t="str"/>
      <x:c r="C12" s="27" t="str"/>
      <x:c r="D12" s="27" t="str"/>
      <x:c r="E12" s="27" t="str"/>
      <x:c r="F12" s="27" t="str">
        <x:v>Medium</x:v>
      </x:c>
      <x:c r="G12" s="27" t="str">
        <x:v>Open</x:v>
      </x:c>
      <x:c r="H12" s="27" t="str"/>
      <x:c r="I12" s="30" t="str"/>
      <x:c r="J12" s="27" t="str"/>
    </x:row>
    <x:row r="13">
      <x:c r="A13" s="27" t="str">
        <x:v>BUG-010</x:v>
      </x:c>
      <x:c r="B13" s="27" t="str"/>
      <x:c r="C13" s="27" t="str"/>
      <x:c r="D13" s="27" t="str"/>
      <x:c r="E13" s="27" t="str"/>
      <x:c r="F13" s="27" t="str">
        <x:v>Medium</x:v>
      </x:c>
      <x:c r="G13" s="27" t="str">
        <x:v>Open</x:v>
      </x:c>
      <x:c r="H13" s="27" t="str"/>
      <x:c r="I13" s="30" t="str"/>
      <x:c r="J13" s="27" t="str"/>
    </x:row>
    <x:row r="14">
      <x:c r="A14" s="27" t="str">
        <x:v>BUG-011</x:v>
      </x:c>
      <x:c r="B14" s="27" t="str"/>
      <x:c r="C14" s="27" t="str"/>
      <x:c r="D14" s="27" t="str"/>
      <x:c r="E14" s="27" t="str"/>
      <x:c r="F14" s="27" t="str">
        <x:v>Medium</x:v>
      </x:c>
      <x:c r="G14" s="27" t="str">
        <x:v>Open</x:v>
      </x:c>
      <x:c r="H14" s="27" t="str"/>
      <x:c r="I14" s="30" t="str"/>
      <x:c r="J14" s="27" t="str"/>
    </x:row>
    <x:row r="15">
      <x:c r="A15" s="27" t="str">
        <x:v>BUG-012</x:v>
      </x:c>
      <x:c r="B15" s="27" t="str"/>
      <x:c r="C15" s="27" t="str"/>
      <x:c r="D15" s="27" t="str"/>
      <x:c r="E15" s="27" t="str"/>
      <x:c r="F15" s="27" t="str">
        <x:v>Medium</x:v>
      </x:c>
      <x:c r="G15" s="27" t="str">
        <x:v>Open</x:v>
      </x:c>
      <x:c r="H15" s="27" t="str"/>
      <x:c r="I15" s="30" t="str"/>
      <x:c r="J15" s="27" t="str"/>
    </x:row>
    <x:row r="16">
      <x:c r="A16" s="27" t="str">
        <x:v>BUG-013</x:v>
      </x:c>
      <x:c r="B16" s="27" t="str"/>
      <x:c r="C16" s="27" t="str"/>
      <x:c r="D16" s="27" t="str"/>
      <x:c r="E16" s="27" t="str"/>
      <x:c r="F16" s="27" t="str">
        <x:v>Medium</x:v>
      </x:c>
      <x:c r="G16" s="27" t="str">
        <x:v>Open</x:v>
      </x:c>
      <x:c r="H16" s="27" t="str"/>
      <x:c r="I16" s="30" t="str"/>
      <x:c r="J16" s="27" t="str"/>
    </x:row>
    <x:row r="17">
      <x:c r="A17" s="27" t="str">
        <x:v>BUG-014</x:v>
      </x:c>
      <x:c r="B17" s="27" t="str"/>
      <x:c r="C17" s="27" t="str"/>
      <x:c r="D17" s="27" t="str"/>
      <x:c r="E17" s="27" t="str"/>
      <x:c r="F17" s="27" t="str">
        <x:v>Medium</x:v>
      </x:c>
      <x:c r="G17" s="27" t="str">
        <x:v>Open</x:v>
      </x:c>
      <x:c r="H17" s="27" t="str"/>
      <x:c r="I17" s="30" t="str"/>
      <x:c r="J17" s="27" t="str"/>
    </x:row>
    <x:row r="18">
      <x:c r="A18" s="27" t="str">
        <x:v>BUG-015</x:v>
      </x:c>
      <x:c r="B18" s="27" t="str"/>
      <x:c r="C18" s="27" t="str"/>
      <x:c r="D18" s="27" t="str"/>
      <x:c r="E18" s="27" t="str"/>
      <x:c r="F18" s="27" t="str">
        <x:v>Medium</x:v>
      </x:c>
      <x:c r="G18" s="27" t="str">
        <x:v>Open</x:v>
      </x:c>
      <x:c r="H18" s="27" t="str"/>
      <x:c r="I18" s="30" t="str"/>
      <x:c r="J18" s="27" t="str"/>
    </x:row>
    <x:row r="19">
      <x:c r="A19" s="27" t="str">
        <x:v>BUG-016</x:v>
      </x:c>
      <x:c r="B19" s="27" t="str"/>
      <x:c r="C19" s="27" t="str"/>
      <x:c r="D19" s="27" t="str"/>
      <x:c r="E19" s="27" t="str"/>
      <x:c r="F19" s="27" t="str">
        <x:v>Medium</x:v>
      </x:c>
      <x:c r="G19" s="27" t="str">
        <x:v>Open</x:v>
      </x:c>
      <x:c r="H19" s="27" t="str"/>
      <x:c r="I19" s="30" t="str"/>
      <x:c r="J19" s="27" t="str"/>
    </x:row>
    <x:row r="20">
      <x:c r="A20" s="27" t="str">
        <x:v>BUG-017</x:v>
      </x:c>
      <x:c r="B20" s="27" t="str"/>
      <x:c r="C20" s="27" t="str"/>
      <x:c r="D20" s="27" t="str"/>
      <x:c r="E20" s="27" t="str"/>
      <x:c r="F20" s="27" t="str">
        <x:v>Medium</x:v>
      </x:c>
      <x:c r="G20" s="27" t="str">
        <x:v>Open</x:v>
      </x:c>
      <x:c r="H20" s="27" t="str"/>
      <x:c r="I20" s="30" t="str"/>
      <x:c r="J20" s="27" t="str"/>
    </x:row>
    <x:row r="21">
      <x:c r="A21" s="27" t="str">
        <x:v>BUG-018</x:v>
      </x:c>
      <x:c r="B21" s="27" t="str"/>
      <x:c r="C21" s="27" t="str"/>
      <x:c r="D21" s="27" t="str"/>
      <x:c r="E21" s="27" t="str"/>
      <x:c r="F21" s="27" t="str">
        <x:v>Medium</x:v>
      </x:c>
      <x:c r="G21" s="27" t="str">
        <x:v>Open</x:v>
      </x:c>
      <x:c r="H21" s="27" t="str"/>
      <x:c r="I21" s="30" t="str"/>
      <x:c r="J21" s="27" t="str"/>
    </x:row>
    <x:row r="22">
      <x:c r="A22" s="27" t="str">
        <x:v>BUG-019</x:v>
      </x:c>
      <x:c r="B22" s="27" t="str"/>
      <x:c r="C22" s="27" t="str"/>
      <x:c r="D22" s="27" t="str"/>
      <x:c r="E22" s="27" t="str"/>
      <x:c r="F22" s="27" t="str">
        <x:v>Medium</x:v>
      </x:c>
      <x:c r="G22" s="27" t="str">
        <x:v>Open</x:v>
      </x:c>
      <x:c r="H22" s="27" t="str"/>
      <x:c r="I22" s="30" t="str"/>
      <x:c r="J22" s="27" t="str"/>
    </x:row>
    <x:row r="23">
      <x:c r="A23" s="27" t="str">
        <x:v>BUG-020</x:v>
      </x:c>
      <x:c r="B23" s="27" t="str"/>
      <x:c r="C23" s="27" t="str"/>
      <x:c r="D23" s="27" t="str"/>
      <x:c r="E23" s="27" t="str"/>
      <x:c r="F23" s="27" t="str">
        <x:v>Medium</x:v>
      </x:c>
      <x:c r="G23" s="27" t="str">
        <x:v>Open</x:v>
      </x:c>
      <x:c r="H23" s="27" t="str"/>
      <x:c r="I23" s="30" t="str"/>
      <x:c r="J23" s="27" t="str"/>
    </x:row>
    <x:row r="24">
      <x:c r="I24" s="31"/>
    </x:row>
    <x:row r="25">
      <x:c r="I25" s="31"/>
    </x:row>
    <x:row r="26">
      <x:c r="I26" s="31"/>
    </x:row>
    <x:row r="27">
      <x:c r="I27" s="31"/>
    </x:row>
    <x:row r="28">
      <x:c r="I28" s="31"/>
    </x:row>
    <x:row r="29">
      <x:c r="I29" s="31"/>
    </x:row>
    <x:row r="30">
      <x:c r="I30" s="31"/>
    </x:row>
    <x:row r="31">
      <x:c r="I31" s="31"/>
    </x:row>
    <x:row r="32">
      <x:c r="I32" s="31"/>
    </x:row>
    <x:row r="33">
      <x:c r="I33" s="31"/>
    </x:row>
    <x:row r="34">
      <x:c r="I34" s="31"/>
    </x:row>
    <x:row r="35">
      <x:c r="I35" s="31"/>
    </x:row>
    <x:row r="36">
      <x:c r="I36" s="31"/>
    </x:row>
    <x:row r="37">
      <x:c r="I37" s="31"/>
    </x:row>
    <x:row r="38">
      <x:c r="I38" s="31"/>
    </x:row>
    <x:row r="39">
      <x:c r="I39" s="31"/>
    </x:row>
    <x:row r="40">
      <x:c r="I40" s="31"/>
    </x:row>
    <x:row r="41">
      <x:c r="I41" s="31"/>
    </x:row>
    <x:row r="42">
      <x:c r="I42" s="31"/>
    </x:row>
    <x:row r="43">
      <x:c r="I43" s="31"/>
    </x:row>
    <x:row r="44">
      <x:c r="I44" s="31"/>
    </x:row>
    <x:row r="45">
      <x:c r="I45" s="31"/>
    </x:row>
    <x:row r="46">
      <x:c r="I46" s="31"/>
    </x:row>
    <x:row r="47">
      <x:c r="I47" s="31"/>
    </x:row>
    <x:row r="48">
      <x:c r="I48" s="31"/>
    </x:row>
    <x:row r="49">
      <x:c r="I49" s="31"/>
    </x:row>
    <x:row r="50">
      <x:c r="I50" s="31"/>
    </x:row>
    <x:row r="51">
      <x:c r="I51" s="31"/>
    </x:row>
    <x:row r="52">
      <x:c r="I52" s="31"/>
    </x:row>
    <x:row r="53">
      <x:c r="I53" s="31"/>
    </x:row>
    <x:row r="54">
      <x:c r="I54" s="31"/>
    </x:row>
    <x:row r="55">
      <x:c r="I55" s="31"/>
    </x:row>
    <x:row r="56">
      <x:c r="I56" s="31"/>
    </x:row>
    <x:row r="57">
      <x:c r="I57" s="31"/>
    </x:row>
    <x:row r="58">
      <x:c r="I58" s="31"/>
    </x:row>
    <x:row r="59">
      <x:c r="I59" s="31"/>
    </x:row>
    <x:row r="60">
      <x:c r="I60" s="31"/>
    </x:row>
    <x:row r="61">
      <x:c r="I61" s="31"/>
    </x:row>
    <x:row r="62">
      <x:c r="I62" s="31"/>
    </x:row>
    <x:row r="63">
      <x:c r="I63" s="31"/>
    </x:row>
    <x:row r="64">
      <x:c r="I64" s="31"/>
    </x:row>
    <x:row r="65">
      <x:c r="I65" s="31"/>
    </x:row>
    <x:row r="66">
      <x:c r="I66" s="31"/>
    </x:row>
    <x:row r="67">
      <x:c r="I67" s="31"/>
    </x:row>
    <x:row r="68">
      <x:c r="I68" s="31"/>
    </x:row>
    <x:row r="69">
      <x:c r="I69" s="31"/>
    </x:row>
    <x:row r="70">
      <x:c r="I70" s="31"/>
    </x:row>
    <x:row r="71">
      <x:c r="I71" s="31"/>
    </x:row>
    <x:row r="72">
      <x:c r="I72" s="31"/>
    </x:row>
    <x:row r="73">
      <x:c r="I73" s="31"/>
    </x:row>
    <x:row r="74">
      <x:c r="I74" s="31"/>
    </x:row>
    <x:row r="75">
      <x:c r="I75" s="31"/>
    </x:row>
    <x:row r="76">
      <x:c r="I76" s="31"/>
    </x:row>
    <x:row r="77">
      <x:c r="I77" s="31"/>
    </x:row>
    <x:row r="78">
      <x:c r="I78" s="31"/>
    </x:row>
    <x:row r="79">
      <x:c r="I79" s="31"/>
    </x:row>
    <x:row r="80">
      <x:c r="I80" s="31"/>
    </x:row>
    <x:row r="81">
      <x:c r="I81" s="31"/>
    </x:row>
    <x:row r="82">
      <x:c r="I82" s="31"/>
    </x:row>
    <x:row r="83">
      <x:c r="I83" s="31"/>
    </x:row>
    <x:row r="84">
      <x:c r="I84" s="31"/>
    </x:row>
    <x:row r="85">
      <x:c r="I85" s="31"/>
    </x:row>
    <x:row r="86">
      <x:c r="I86" s="31"/>
    </x:row>
    <x:row r="87">
      <x:c r="I87" s="31"/>
    </x:row>
    <x:row r="88">
      <x:c r="I88" s="31"/>
    </x:row>
    <x:row r="89">
      <x:c r="I89" s="31"/>
    </x:row>
    <x:row r="90">
      <x:c r="I90" s="31"/>
    </x:row>
    <x:row r="91">
      <x:c r="I91" s="31"/>
    </x:row>
    <x:row r="92">
      <x:c r="I92" s="31"/>
    </x:row>
    <x:row r="93">
      <x:c r="I93" s="31"/>
    </x:row>
    <x:row r="94">
      <x:c r="I94" s="31"/>
    </x:row>
    <x:row r="95">
      <x:c r="I95" s="31"/>
    </x:row>
    <x:row r="96">
      <x:c r="I96" s="31"/>
    </x:row>
    <x:row r="97">
      <x:c r="I97" s="31"/>
    </x:row>
    <x:row r="98">
      <x:c r="I98" s="31"/>
    </x:row>
    <x:row r="99">
      <x:c r="I99" s="31"/>
    </x:row>
    <x:row r="100">
      <x:c r="I100" s="31"/>
    </x:row>
  </x:sheetData>
  <x:mergeCells>
    <x:mergeCell ref="A1:J1"/>
  </x:mergeCells>
  <x:conditionalFormatting sqref="G4:G100">
    <x:cfRule type="expression" dxfId="4" priority="1">
      <x:formula>G4="Closed"</x:formula>
    </x:cfRule>
    <x:cfRule type="expression" dxfId="5" priority="2">
      <x:formula>G4="Open"</x:formula>
    </x:cfRule>
    <x:cfRule type="expression" dxfId="6" priority="3">
      <x:formula>G4="In Progress"</x:formula>
    </x:cfRule>
    <x:cfRule type="expression" dxfId="7" priority="4">
      <x:formula>G4="Retest Needed"</x:formula>
    </x:cfRule>
  </x:conditionalFormatting>
  <x:dataValidations count="3">
    <x:dataValidation type="list" sqref="F4:F100">
      <x:formula1>"Critical,High,Medium,Low"</x:formula1>
    </x:dataValidation>
    <x:dataValidation type="list" sqref="G4:G100">
      <x:formula1>"Open,In Progress,Fixed,Retest Needed,Closed"</x:formula1>
    </x:dataValidation>
    <x:dataValidation type="list" sqref="J4:J100">
      <x:formula1>"Not Retested,Pass,Fail"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1d47aaff304c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52" hidden="0" customWidth="1"/>
    <x:col min="4" max="4" width="14" hidden="0" customWidth="1"/>
    <x:col min="5" max="5" width="14" hidden="0" customWidth="1"/>
  </x:cols>
  <x:sheetData>
    <x:row r="1">
      <x:c r="A1" s="50" t="str">
        <x:v>Testing Progress Summary</x:v>
      </x:c>
    </x:row>
    <x:row r="3">
      <x:c r="A3" s="64" t="str">
        <x:v>Metric</x:v>
      </x:c>
      <x:c r="B3" s="65" t="str">
        <x:v>Count</x:v>
      </x:c>
      <x:c r="D3" s="76" t="str">
        <x:v>Bug Metric</x:v>
      </x:c>
      <x:c r="E3" s="77" t="str">
        <x:v>Count</x:v>
      </x:c>
    </x:row>
    <x:row r="4">
      <x:c r="A4" s="66" t="str">
        <x:v>Total Test Cases</x:v>
      </x:c>
      <x:c r="B4" s="67" t="n">
        <x:f>COUNTA('Test Cases'!A5:A200)</x:f>
        <x:v>20</x:v>
      </x:c>
      <x:c r="D4" s="66" t="str">
        <x:v>Total Bugs Logged</x:v>
      </x:c>
      <x:c r="E4" s="67" t="n">
        <x:f>COUNTIF('Bug Log'!D4:D100,"&lt;&gt;")</x:f>
        <x:v>20</x:v>
      </x:c>
    </x:row>
    <x:row r="5">
      <x:c r="A5" s="66" t="str">
        <x:v>Passed</x:v>
      </x:c>
      <x:c r="B5" s="67" t="n">
        <x:f>COUNTIF('Test Cases'!G5:G200,"Pass")</x:f>
        <x:v>0</x:v>
      </x:c>
      <x:c r="D5" s="66" t="str">
        <x:v>Open</x:v>
      </x:c>
      <x:c r="E5" s="67" t="n">
        <x:f>COUNTIF('Bug Log'!G4:G100,"Open")</x:f>
        <x:v>20</x:v>
      </x:c>
    </x:row>
    <x:row r="6">
      <x:c r="A6" s="66" t="str">
        <x:v>Failed</x:v>
      </x:c>
      <x:c r="B6" s="67" t="n">
        <x:f>COUNTIF('Test Cases'!G5:G200,"Fail")</x:f>
        <x:v>0</x:v>
      </x:c>
      <x:c r="D6" s="66" t="str">
        <x:v>In Progress</x:v>
      </x:c>
      <x:c r="E6" s="67" t="n">
        <x:f>COUNTIF('Bug Log'!G4:G100,"In Progress")</x:f>
        <x:v>0</x:v>
      </x:c>
    </x:row>
    <x:row r="7">
      <x:c r="A7" s="66" t="str">
        <x:v>Blocked</x:v>
      </x:c>
      <x:c r="B7" s="67" t="n">
        <x:f>COUNTIF('Test Cases'!G5:G200,"Blocked")</x:f>
        <x:v>0</x:v>
      </x:c>
      <x:c r="D7" s="66" t="str">
        <x:v>Fixed / Retest Needed</x:v>
      </x:c>
      <x:c r="E7" s="67" t="n">
        <x:f>COUNTIF('Bug Log'!G4:G100,"Fixed")+COUNTIF('Bug Log'!G4:G100,"Retest Needed")</x:f>
        <x:v>0</x:v>
      </x:c>
    </x:row>
    <x:row r="8">
      <x:c r="A8" s="68" t="str">
        <x:v>Not Started / In Progress</x:v>
      </x:c>
      <x:c r="B8" s="69" t="n">
        <x:f>COUNTIF('Test Cases'!G5:G200,"Not Started")+COUNTIF('Test Cases'!G5:G200,"In Progress")</x:f>
        <x:v>20</x:v>
      </x:c>
      <x:c r="D8" s="68" t="str">
        <x:v>Closed</x:v>
      </x:c>
      <x:c r="E8" s="69" t="n">
        <x:f>COUNTIF('Bug Log'!G4:G100,"Closed")</x:f>
        <x:v>0</x:v>
      </x:c>
    </x:row>
    <x:row r="10">
      <x:c r="A10" s="60" t="str">
        <x:v>Recommended Final Testing Order</x:v>
      </x:c>
    </x:row>
    <x:row r="11">
      <x:c r="A11" s="27" t="str">
        <x:v>1</x:v>
      </x:c>
      <x:c r="B11" s="27" t="str">
        <x:v>Merge all team branches</x:v>
      </x:c>
      <x:c r="C11" s="27" t="str">
        <x:v>Confirm frontend, backend, database, and testing changes are present.</x:v>
      </x:c>
      <x:c r="D11" s="27" t="str"/>
      <x:c r="E11" s="27" t="str"/>
    </x:row>
    <x:row r="12">
      <x:c r="A12" s="27" t="str">
        <x:v>2</x:v>
      </x:c>
      <x:c r="B12" s="27" t="str">
        <x:v>Run the full application</x:v>
      </x:c>
      <x:c r="C12" s="27" t="str">
        <x:v>Open every screen and confirm the server starts without errors.</x:v>
      </x:c>
      <x:c r="D12" s="27" t="str"/>
      <x:c r="E12" s="27" t="str"/>
    </x:row>
    <x:row r="13">
      <x:c r="A13" s="27" t="str">
        <x:v>3</x:v>
      </x:c>
      <x:c r="B13" s="27" t="str">
        <x:v>Complete manual tests</x:v>
      </x:c>
      <x:c r="C13" s="27" t="str">
        <x:v>Work through the Test Cases sheet and update each Status.</x:v>
      </x:c>
      <x:c r="D13" s="27" t="str"/>
      <x:c r="E13" s="27" t="str"/>
    </x:row>
    <x:row r="14">
      <x:c r="A14" s="27" t="str">
        <x:v>4</x:v>
      </x:c>
      <x:c r="B14" s="27" t="str">
        <x:v>Log and assign bugs</x:v>
      </x:c>
      <x:c r="C14" s="27" t="str">
        <x:v>Add failed tests to the Bug Log with severity and reproduction steps.</x:v>
      </x:c>
      <x:c r="D14" s="27" t="str"/>
      <x:c r="E14" s="27" t="str"/>
    </x:row>
    <x:row r="15">
      <x:c r="A15" s="27" t="str">
        <x:v>5</x:v>
      </x:c>
      <x:c r="B15" s="27" t="str">
        <x:v>Retest fixes</x:v>
      </x:c>
      <x:c r="C15" s="27" t="str">
        <x:v>Change bug status and record the retest result.</x:v>
      </x:c>
      <x:c r="D15" s="27" t="str"/>
      <x:c r="E15" s="27" t="str"/>
    </x:row>
    <x:row r="16">
      <x:c r="A16" s="27" t="str">
        <x:v>6</x:v>
      </x:c>
      <x:c r="B16" s="27" t="str">
        <x:v>Run automated tests</x:v>
      </x:c>
      <x:c r="C16" s="27" t="str">
        <x:v>Run python manage.py test and save the final passing screenshot.</x:v>
      </x:c>
      <x:c r="D16" s="27" t="str"/>
      <x:c r="E16" s="27" t="str"/>
    </x:row>
  </x:sheetData>
  <x:mergeCells>
    <x:mergeCell ref="A1:H1"/>
    <x:mergeCell ref="A10:E10"/>
  </x:mergeCells>
  <x:pageMargins left="0.7" right="0.7" top="0.75" bottom="0.75" header="0.3" footer="0.3"/>
  <x:drawing xmlns:r="http://schemas.openxmlformats.org/officeDocument/2006/relationships" r:id="R6c489f6a9d44464f"/>
</x:worksheet>
</file>